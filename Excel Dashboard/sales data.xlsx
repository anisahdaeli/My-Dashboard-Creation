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D:\ANISAH_BIG_FOLDER_KULIAH\Semester 3 [2022]\MATA KULIAH\V.D NO Visualisasi Data\Tugas\P6\"/>
    </mc:Choice>
  </mc:AlternateContent>
  <xr:revisionPtr revIDLastSave="0" documentId="13_ncr:1_{79E71835-A2BC-4CB6-8FFA-419F102DA3D4}" xr6:coauthVersionLast="47" xr6:coauthVersionMax="47" xr10:uidLastSave="{00000000-0000-0000-0000-000000000000}"/>
  <bookViews>
    <workbookView xWindow="-120" yWindow="-120" windowWidth="20730" windowHeight="11160" tabRatio="813" activeTab="2" xr2:uid="{00000000-000D-0000-FFFF-FFFF00000000}"/>
  </bookViews>
  <sheets>
    <sheet name="PRODUCT-CUST dashboard" sheetId="14" r:id="rId1"/>
    <sheet name="CATEGORY dasboard" sheetId="15" r:id="rId2"/>
    <sheet name="Sheet1" sheetId="16" r:id="rId3"/>
    <sheet name="Sales Data" sheetId="2" r:id="rId4"/>
  </sheets>
  <definedNames>
    <definedName name="_xlcn.WorksheetConnection_NorthwindTradersSalesData01_18_17.xlsxtbl_Goals1" hidden="1">tbl_Goals</definedName>
    <definedName name="_xlcn.WorksheetConnection_NorthwindTradersSalesData01_18_17.xlsxtbl_Sales1" hidden="1">tbl_Sales[]</definedName>
    <definedName name="NativeTimeline_Order_Date1">#N/A</definedName>
    <definedName name="rng_CSAT">#REF!</definedName>
    <definedName name="rng_CSAT_Avg">#REF!</definedName>
    <definedName name="rng_MonthlyGoal">#REF!</definedName>
    <definedName name="rng_MonthlySales">#REF!</definedName>
    <definedName name="Slicer_Category">#N/A</definedName>
    <definedName name="Slicer_Product_Name">#N/A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Sales" name="tbl_Sales" connection="WorksheetConnection_Northwind Traders Sales Data 01_18_17.xlsx!tbl_Sales"/>
          <x15:modelTable id="tbl_Goals" name="tbl_Goals" connection="WorksheetConnection_Northwind Traders Sales Data 01_18_17.xlsx!tbl_Goal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Northwind Traders Sales Data 01_18_17.xlsx!tbl_Goals" type="102" refreshedVersion="6" minRefreshableVersion="5">
    <extLst>
      <ext xmlns:x15="http://schemas.microsoft.com/office/spreadsheetml/2010/11/main" uri="{DE250136-89BD-433C-8126-D09CA5730AF9}">
        <x15:connection id="tbl_Goals">
          <x15:rangePr sourceName="_xlcn.WorksheetConnection_NorthwindTradersSalesData01_18_17.xlsxtbl_Goals1"/>
        </x15:connection>
      </ext>
    </extLst>
  </connection>
  <connection id="3" xr16:uid="{00000000-0015-0000-FFFF-FFFF02000000}" name="WorksheetConnection_Northwind Traders Sales Data 01_18_17.xlsx!tbl_Sales" type="102" refreshedVersion="6" minRefreshableVersion="5">
    <extLst>
      <ext xmlns:x15="http://schemas.microsoft.com/office/spreadsheetml/2010/11/main" uri="{DE250136-89BD-433C-8126-D09CA5730AF9}">
        <x15:connection id="tbl_Sales" autoDelete="1">
          <x15:rangePr sourceName="_xlcn.WorksheetConnection_NorthwindTradersSalesData01_18_17.xlsxtbl_Sales1"/>
        </x15:connection>
      </ext>
    </extLst>
  </connection>
</connections>
</file>

<file path=xl/sharedStrings.xml><?xml version="1.0" encoding="utf-8"?>
<sst xmlns="http://schemas.openxmlformats.org/spreadsheetml/2006/main" count="538" uniqueCount="144">
  <si>
    <t>Order ID</t>
  </si>
  <si>
    <t>Order Date</t>
  </si>
  <si>
    <t>Employee</t>
  </si>
  <si>
    <t>Customer Name</t>
  </si>
  <si>
    <t>Category</t>
  </si>
  <si>
    <t>Product Name</t>
  </si>
  <si>
    <t>Sales</t>
  </si>
  <si>
    <t>Payment Type</t>
  </si>
  <si>
    <t>CSAT</t>
  </si>
  <si>
    <t>Last Name</t>
  </si>
  <si>
    <t>First Name</t>
  </si>
  <si>
    <t>Address</t>
  </si>
  <si>
    <t>City</t>
  </si>
  <si>
    <t>State/Province</t>
  </si>
  <si>
    <t>Quarter</t>
  </si>
  <si>
    <t>Anne Hellung-Larsen</t>
  </si>
  <si>
    <t>Company AA</t>
  </si>
  <si>
    <t>Beverages</t>
  </si>
  <si>
    <t>Check</t>
  </si>
  <si>
    <t>Toh</t>
  </si>
  <si>
    <t>Karen</t>
  </si>
  <si>
    <t>789 27th Street</t>
  </si>
  <si>
    <t>Las Vegas</t>
  </si>
  <si>
    <t>NV</t>
  </si>
  <si>
    <t>Dried Fruit &amp; Nuts</t>
  </si>
  <si>
    <t>Jan Kotas</t>
  </si>
  <si>
    <t>Company D</t>
  </si>
  <si>
    <t>Credit Card</t>
  </si>
  <si>
    <t>Lee</t>
  </si>
  <si>
    <t>Christina</t>
  </si>
  <si>
    <t>123 4th Street</t>
  </si>
  <si>
    <t>New York</t>
  </si>
  <si>
    <t>NY</t>
  </si>
  <si>
    <t>Mariya Sergienko</t>
  </si>
  <si>
    <t>Company L</t>
  </si>
  <si>
    <t>Edwards</t>
  </si>
  <si>
    <t>John</t>
  </si>
  <si>
    <t>123 12th Street</t>
  </si>
  <si>
    <t>Michael Neipper</t>
  </si>
  <si>
    <t>Company H</t>
  </si>
  <si>
    <t>Baked Goods &amp; Mixes</t>
  </si>
  <si>
    <t>Andersen</t>
  </si>
  <si>
    <t>Elizabeth</t>
  </si>
  <si>
    <t>123 8th Street</t>
  </si>
  <si>
    <t>Portland</t>
  </si>
  <si>
    <t>OR</t>
  </si>
  <si>
    <t>Company CC</t>
  </si>
  <si>
    <t>Candy</t>
  </si>
  <si>
    <t>Soo Jung</t>
  </si>
  <si>
    <t>789 29th Street</t>
  </si>
  <si>
    <t>Denver</t>
  </si>
  <si>
    <t>CO</t>
  </si>
  <si>
    <t>Company C</t>
  </si>
  <si>
    <t>Soups</t>
  </si>
  <si>
    <t>Cash</t>
  </si>
  <si>
    <t>Axen</t>
  </si>
  <si>
    <t>Thomas</t>
  </si>
  <si>
    <t>123 3rd Street</t>
  </si>
  <si>
    <t>Los Angelas</t>
  </si>
  <si>
    <t>CA</t>
  </si>
  <si>
    <t>Laura Giussani</t>
  </si>
  <si>
    <t>Company F</t>
  </si>
  <si>
    <t>Sauces</t>
  </si>
  <si>
    <t>Pérez-Olaeta</t>
  </si>
  <si>
    <t>Francisco</t>
  </si>
  <si>
    <t>123 6th Street</t>
  </si>
  <si>
    <t>Milwaukee</t>
  </si>
  <si>
    <t>WI</t>
  </si>
  <si>
    <t>Company BB</t>
  </si>
  <si>
    <t>Raghav</t>
  </si>
  <si>
    <t>Amritansh</t>
  </si>
  <si>
    <t>789 28th Street</t>
  </si>
  <si>
    <t>Memphis</t>
  </si>
  <si>
    <t>TN</t>
  </si>
  <si>
    <t>Company J</t>
  </si>
  <si>
    <t>Wacker</t>
  </si>
  <si>
    <t>Roland</t>
  </si>
  <si>
    <t>123 10th Street</t>
  </si>
  <si>
    <t>Chicago</t>
  </si>
  <si>
    <t>IL</t>
  </si>
  <si>
    <t>Nancy Freehafer</t>
  </si>
  <si>
    <t>Jams, Preserves</t>
  </si>
  <si>
    <t>Condiments</t>
  </si>
  <si>
    <t>Canned Meat</t>
  </si>
  <si>
    <t>Robert Zare</t>
  </si>
  <si>
    <t>Company I</t>
  </si>
  <si>
    <t>Pasta</t>
  </si>
  <si>
    <t>Mortensen</t>
  </si>
  <si>
    <t>Sven</t>
  </si>
  <si>
    <t>123 9th Street</t>
  </si>
  <si>
    <t>Salt Lake City</t>
  </si>
  <si>
    <t>UT</t>
  </si>
  <si>
    <t>Dairy Products</t>
  </si>
  <si>
    <t>Company Y</t>
  </si>
  <si>
    <t>Rodman</t>
  </si>
  <si>
    <t>789 25th Street</t>
  </si>
  <si>
    <t>Company Z</t>
  </si>
  <si>
    <t>Oil</t>
  </si>
  <si>
    <t>Liu</t>
  </si>
  <si>
    <t>Run</t>
  </si>
  <si>
    <t>789 26th Street</t>
  </si>
  <si>
    <t>Miami</t>
  </si>
  <si>
    <t>FL</t>
  </si>
  <si>
    <t>Andrew Cencini</t>
  </si>
  <si>
    <t>Canned Fruit &amp; Vegetables</t>
  </si>
  <si>
    <t>Company A</t>
  </si>
  <si>
    <t>Bedecs</t>
  </si>
  <si>
    <t>Anna</t>
  </si>
  <si>
    <t>123 1st Street</t>
  </si>
  <si>
    <t>Seattle</t>
  </si>
  <si>
    <t>WA</t>
  </si>
  <si>
    <t>Company K</t>
  </si>
  <si>
    <t>Krschne</t>
  </si>
  <si>
    <t>Peter</t>
  </si>
  <si>
    <t>123 11th Street</t>
  </si>
  <si>
    <t>Grains</t>
  </si>
  <si>
    <t>Beer</t>
  </si>
  <si>
    <t>Dried Plums</t>
  </si>
  <si>
    <t>Dried Pears</t>
  </si>
  <si>
    <t>Dried Apples</t>
  </si>
  <si>
    <t>Chai</t>
  </si>
  <si>
    <t>Coffee</t>
  </si>
  <si>
    <t>Chocolate Biscuits Mix</t>
  </si>
  <si>
    <t>Chocolate</t>
  </si>
  <si>
    <t>Clam Chowder</t>
  </si>
  <si>
    <t>Curry Sauce</t>
  </si>
  <si>
    <t>Green Tea</t>
  </si>
  <si>
    <t>Boysenberry Spread</t>
  </si>
  <si>
    <t>Cajun Seasoning</t>
  </si>
  <si>
    <t>Crab Meat</t>
  </si>
  <si>
    <t>Ravioli</t>
  </si>
  <si>
    <t>Mozzarella</t>
  </si>
  <si>
    <t>Scones</t>
  </si>
  <si>
    <t>Olive Oil</t>
  </si>
  <si>
    <t>Fruit Cocktail</t>
  </si>
  <si>
    <t>Almonds</t>
  </si>
  <si>
    <t>Syrup</t>
  </si>
  <si>
    <t>Marmalade</t>
  </si>
  <si>
    <t>Long Grain Rice</t>
  </si>
  <si>
    <t>Map Sales</t>
  </si>
  <si>
    <t>Row Labels</t>
  </si>
  <si>
    <t>Grand Total</t>
  </si>
  <si>
    <t>Sum of Sales</t>
  </si>
  <si>
    <t>Sum of Map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</si>
</sst>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_);[Red]\(&quot;$&quot;#,##0.00\)"/>
    <numFmt numFmtId="165" formatCode="mm/dd/yy;@"/>
  </numFmts>
  <fonts count="3" x14ac:knownFonts="1">
    <font>
      <sz val="11"/>
      <color theme="1"/>
      <name val="Segoe UI Light"/>
      <family val="2"/>
    </font>
    <font>
      <b/>
      <sz val="18"/>
      <color rgb="FF227447"/>
      <name val="Segoe UI Light"/>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2" fontId="0" fillId="0" borderId="0" xfId="0" applyNumberFormat="1"/>
    <xf numFmtId="0" fontId="2" fillId="0" borderId="0" xfId="0" applyFont="1"/>
    <xf numFmtId="0" fontId="2" fillId="0" borderId="0" xfId="0" applyFont="1" applyAlignment="1">
      <alignment horizontal="right"/>
    </xf>
    <xf numFmtId="0" fontId="2" fillId="0" borderId="0" xfId="0" applyFont="1" applyAlignment="1">
      <alignment horizontal="center"/>
    </xf>
    <xf numFmtId="165" fontId="2" fillId="0" borderId="0" xfId="0" applyNumberFormat="1" applyFont="1" applyAlignment="1">
      <alignment horizontal="center"/>
    </xf>
    <xf numFmtId="164" fontId="2" fillId="0" borderId="0" xfId="0" applyNumberFormat="1" applyFont="1"/>
    <xf numFmtId="9" fontId="2" fillId="0" borderId="0" xfId="0" applyNumberFormat="1" applyFon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0" borderId="0" xfId="0" applyNumberFormat="1"/>
  </cellXfs>
  <cellStyles count="2">
    <cellStyle name="Normal" xfId="0" builtinId="0"/>
    <cellStyle name="Title" xfId="1" builtinId="15" customBuiltin="1"/>
  </cellStyles>
  <dxfs count="30">
    <dxf>
      <font>
        <strike val="0"/>
        <outline val="0"/>
        <shadow val="0"/>
        <u val="none"/>
        <vertAlign val="baseline"/>
        <sz val="11"/>
        <color theme="1"/>
        <name val="Calibri"/>
        <scheme val="minor"/>
      </font>
    </dxf>
    <dxf>
      <font>
        <strike val="0"/>
        <outline val="0"/>
        <shadow val="0"/>
        <u val="none"/>
        <vertAlign val="baseline"/>
        <sz val="11"/>
        <color theme="1"/>
        <name val="Calibri"/>
        <scheme val="minor"/>
      </font>
      <numFmt numFmtId="164" formatCode="&quot;$&quot;#,##0.00_);[Red]\(&quot;$&quot;#,##0.00\)"/>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numFmt numFmtId="13" formatCode="0%"/>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numFmt numFmtId="164" formatCode="&quot;$&quot;#,##0.00_);[Red]\(&quot;$&quot;#,##0.00\)"/>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numFmt numFmtId="0" formatCode="General"/>
    </dxf>
    <dxf>
      <font>
        <strike val="0"/>
        <outline val="0"/>
        <shadow val="0"/>
        <u val="none"/>
        <vertAlign val="baseline"/>
        <sz val="11"/>
        <color theme="1"/>
        <name val="Calibri"/>
        <scheme val="minor"/>
      </font>
      <numFmt numFmtId="165" formatCode="mm/dd/yy;@"/>
      <alignment horizontal="center" vertical="bottom" textRotation="0" wrapText="0" indent="0" justifyLastLine="0" shrinkToFit="0" readingOrder="0"/>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b/>
        <i val="0"/>
      </font>
      <fill>
        <patternFill>
          <bgColor theme="0" tint="-4.9989318521683403E-2"/>
        </patternFill>
      </fill>
    </dxf>
    <dxf>
      <fill>
        <patternFill>
          <bgColor theme="0" tint="-0.14996795556505021"/>
        </patternFill>
      </fill>
    </dxf>
    <dxf>
      <font>
        <b/>
        <i val="0"/>
        <color theme="0"/>
      </font>
      <fill>
        <patternFill>
          <bgColor rgb="FF227447"/>
        </patternFill>
      </fill>
    </dxf>
    <dxf>
      <font>
        <b/>
        <i val="0"/>
        <color theme="0"/>
      </font>
      <fill>
        <patternFill>
          <bgColor rgb="FF227447"/>
        </patternFill>
      </fill>
    </dxf>
    <dxf>
      <font>
        <color rgb="FF227447"/>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2" defaultTableStyle="TableStyleMedium2" defaultPivotStyle="PivotStyleLight16">
    <tableStyle name="Excel UI" pivot="0" count="7" xr9:uid="{00000000-0011-0000-FFFF-FFFF00000000}">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Excel_PivotTable" table="0" count="5" xr9:uid="{00000000-0011-0000-FFFF-FFFF01000000}">
      <tableStyleElement type="wholeTable" dxfId="22"/>
      <tableStyleElement type="headerRow" dxfId="21"/>
      <tableStyleElement type="totalRow" dxfId="20"/>
      <tableStyleElement type="secondRowStripe" dxfId="19"/>
      <tableStyleElement type="firstSubtotalRow" dxfId="18"/>
    </tableStyle>
  </tableStyles>
  <colors>
    <mruColors>
      <color rgb="FF227447"/>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[2112501222_Anisah Hasratniwati Daeli_Dashboard.xlsx]PRODUCT-CUST dashboard!PivotTable3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AND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'PRODUCT-CUST dashboard'!$C$2</c:f>
              <c:strCache>
                <c:ptCount val="1"/>
                <c:pt idx="0">
                  <c:v>Total</c:v>
                </c:pt>
              </c:strCache>
            </c:strRef>
          </c:tx>
          <c:spPr>
            <a:solidFill>
              <a:schemeClr val="accent2"/>
            </a:solidFill>
            <a:ln>
              <a:noFill/>
            </a:ln>
            <a:effectLst/>
          </c:spPr>
          <c:invertIfNegative val="0"/>
          <c:cat>
            <c:multiLvlStrRef>
              <c:f>'PRODUCT-CUST dashboard'!$B$3:$B$20</c:f>
              <c:multiLvlStrCache>
                <c:ptCount val="12"/>
                <c:lvl>
                  <c:pt idx="0">
                    <c:v>Company BB</c:v>
                  </c:pt>
                  <c:pt idx="1">
                    <c:v>Company L</c:v>
                  </c:pt>
                  <c:pt idx="2">
                    <c:v>Company AA</c:v>
                  </c:pt>
                  <c:pt idx="3">
                    <c:v>Company CC</c:v>
                  </c:pt>
                  <c:pt idx="4">
                    <c:v>Company F</c:v>
                  </c:pt>
                  <c:pt idx="5">
                    <c:v>Company D</c:v>
                  </c:pt>
                  <c:pt idx="6">
                    <c:v>Company H</c:v>
                  </c:pt>
                  <c:pt idx="7">
                    <c:v>Company I</c:v>
                  </c:pt>
                  <c:pt idx="8">
                    <c:v>Company BB</c:v>
                  </c:pt>
                  <c:pt idx="9">
                    <c:v>Company C</c:v>
                  </c:pt>
                  <c:pt idx="10">
                    <c:v>Company I</c:v>
                  </c:pt>
                  <c:pt idx="11">
                    <c:v>Company Z</c:v>
                  </c:pt>
                </c:lvl>
                <c:lvl>
                  <c:pt idx="0">
                    <c:v>Coffee</c:v>
                  </c:pt>
                  <c:pt idx="2">
                    <c:v>Beer</c:v>
                  </c:pt>
                  <c:pt idx="5">
                    <c:v>Marmalade</c:v>
                  </c:pt>
                  <c:pt idx="6">
                    <c:v>Mozzarella</c:v>
                  </c:pt>
                  <c:pt idx="8">
                    <c:v>Clam Chowder</c:v>
                  </c:pt>
                </c:lvl>
              </c:multiLvlStrCache>
            </c:multiLvlStrRef>
          </c:cat>
          <c:val>
            <c:numRef>
              <c:f>'PRODUCT-CUST dashboard'!$C$3:$C$20</c:f>
              <c:numCache>
                <c:formatCode>0.00%</c:formatCode>
                <c:ptCount val="12"/>
                <c:pt idx="0">
                  <c:v>0.45348029154613184</c:v>
                </c:pt>
                <c:pt idx="1">
                  <c:v>2.973641256040209E-2</c:v>
                </c:pt>
                <c:pt idx="2">
                  <c:v>4.5251062591916219E-2</c:v>
                </c:pt>
                <c:pt idx="3">
                  <c:v>3.9368424454967112E-2</c:v>
                </c:pt>
                <c:pt idx="4">
                  <c:v>0.13575318777574866</c:v>
                </c:pt>
                <c:pt idx="5">
                  <c:v>0.1047238877127204</c:v>
                </c:pt>
                <c:pt idx="6">
                  <c:v>4.4992485091390984E-2</c:v>
                </c:pt>
                <c:pt idx="7">
                  <c:v>5.6240606364238735E-2</c:v>
                </c:pt>
                <c:pt idx="8">
                  <c:v>1.5595455500428269E-2</c:v>
                </c:pt>
                <c:pt idx="9">
                  <c:v>6.2381822001713078E-2</c:v>
                </c:pt>
                <c:pt idx="10">
                  <c:v>3.1190911000856538E-3</c:v>
                </c:pt>
                <c:pt idx="11">
                  <c:v>9.3572733002569609E-3</c:v>
                </c:pt>
              </c:numCache>
            </c:numRef>
          </c:val>
          <c:extLst>
            <c:ext xmlns:c16="http://schemas.microsoft.com/office/drawing/2014/chart" uri="{C3380CC4-5D6E-409C-BE32-E72D297353CC}">
              <c16:uniqueId val="{00000000-9D23-4CD8-8CE9-8F510CD42DE0}"/>
            </c:ext>
          </c:extLst>
        </c:ser>
        <c:dLbls>
          <c:showLegendKey val="0"/>
          <c:showVal val="0"/>
          <c:showCatName val="0"/>
          <c:showSerName val="0"/>
          <c:showPercent val="0"/>
          <c:showBubbleSize val="0"/>
        </c:dLbls>
        <c:gapWidth val="219"/>
        <c:overlap val="-27"/>
        <c:axId val="1322756656"/>
        <c:axId val="1322746672"/>
      </c:barChart>
      <c:catAx>
        <c:axId val="132275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22746672"/>
        <c:crosses val="autoZero"/>
        <c:auto val="1"/>
        <c:lblAlgn val="ctr"/>
        <c:lblOffset val="100"/>
        <c:noMultiLvlLbl val="0"/>
      </c:catAx>
      <c:valAx>
        <c:axId val="1322746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2275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[2112501222_Anisah Hasratniwati Daeli_Dashboard.xlsx]CATEGORY dasboard!PivotTable2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dasboard'!$C$5</c:f>
              <c:strCache>
                <c:ptCount val="1"/>
                <c:pt idx="0">
                  <c:v>Sum of Sales</c:v>
                </c:pt>
              </c:strCache>
            </c:strRef>
          </c:tx>
          <c:spPr>
            <a:solidFill>
              <a:schemeClr val="accent1"/>
            </a:solidFill>
            <a:ln>
              <a:noFill/>
            </a:ln>
            <a:effectLst/>
          </c:spPr>
          <c:invertIfNegative val="0"/>
          <c:cat>
            <c:strRef>
              <c:f>'CATEGORY dasboard'!$B$6:$B$20</c:f>
              <c:strCache>
                <c:ptCount val="14"/>
                <c:pt idx="0">
                  <c:v>Beverages</c:v>
                </c:pt>
                <c:pt idx="1">
                  <c:v>Jams, Preserves</c:v>
                </c:pt>
                <c:pt idx="2">
                  <c:v>Dried Fruit &amp; Nuts</c:v>
                </c:pt>
                <c:pt idx="3">
                  <c:v>Dairy Products</c:v>
                </c:pt>
                <c:pt idx="4">
                  <c:v>Soups</c:v>
                </c:pt>
                <c:pt idx="5">
                  <c:v>Sauces</c:v>
                </c:pt>
                <c:pt idx="6">
                  <c:v>Candy</c:v>
                </c:pt>
                <c:pt idx="7">
                  <c:v>Canned Meat</c:v>
                </c:pt>
                <c:pt idx="8">
                  <c:v>Pasta</c:v>
                </c:pt>
                <c:pt idx="9">
                  <c:v>Canned Fruit &amp; Vegetables</c:v>
                </c:pt>
                <c:pt idx="10">
                  <c:v>Condiments</c:v>
                </c:pt>
                <c:pt idx="11">
                  <c:v>Baked Goods &amp; Mixes</c:v>
                </c:pt>
                <c:pt idx="12">
                  <c:v>Oil</c:v>
                </c:pt>
                <c:pt idx="13">
                  <c:v>Grains</c:v>
                </c:pt>
              </c:strCache>
            </c:strRef>
          </c:cat>
          <c:val>
            <c:numRef>
              <c:f>'CATEGORY dasboard'!$C$6:$C$20</c:f>
              <c:numCache>
                <c:formatCode>General</c:formatCode>
                <c:ptCount val="14"/>
                <c:pt idx="0">
                  <c:v>22636</c:v>
                </c:pt>
                <c:pt idx="1">
                  <c:v>5740</c:v>
                </c:pt>
                <c:pt idx="2">
                  <c:v>3712.5</c:v>
                </c:pt>
                <c:pt idx="3">
                  <c:v>3132</c:v>
                </c:pt>
                <c:pt idx="4">
                  <c:v>2798.5</c:v>
                </c:pt>
                <c:pt idx="5">
                  <c:v>2600</c:v>
                </c:pt>
                <c:pt idx="6">
                  <c:v>2550</c:v>
                </c:pt>
                <c:pt idx="7">
                  <c:v>2208</c:v>
                </c:pt>
                <c:pt idx="8">
                  <c:v>1950</c:v>
                </c:pt>
                <c:pt idx="9">
                  <c:v>1560</c:v>
                </c:pt>
                <c:pt idx="10">
                  <c:v>1380</c:v>
                </c:pt>
                <c:pt idx="11">
                  <c:v>982</c:v>
                </c:pt>
                <c:pt idx="12">
                  <c:v>533.75</c:v>
                </c:pt>
                <c:pt idx="13">
                  <c:v>280</c:v>
                </c:pt>
              </c:numCache>
            </c:numRef>
          </c:val>
          <c:extLst>
            <c:ext xmlns:c16="http://schemas.microsoft.com/office/drawing/2014/chart" uri="{C3380CC4-5D6E-409C-BE32-E72D297353CC}">
              <c16:uniqueId val="{00000000-3338-425E-8E2D-B7DBC02B1751}"/>
            </c:ext>
          </c:extLst>
        </c:ser>
        <c:dLbls>
          <c:showLegendKey val="0"/>
          <c:showVal val="0"/>
          <c:showCatName val="0"/>
          <c:showSerName val="0"/>
          <c:showPercent val="0"/>
          <c:showBubbleSize val="0"/>
        </c:dLbls>
        <c:gapWidth val="219"/>
        <c:overlap val="-27"/>
        <c:axId val="1317879168"/>
        <c:axId val="1317875424"/>
      </c:barChart>
      <c:lineChart>
        <c:grouping val="standard"/>
        <c:varyColors val="0"/>
        <c:ser>
          <c:idx val="1"/>
          <c:order val="1"/>
          <c:tx>
            <c:strRef>
              <c:f>'CATEGORY dasboard'!$D$5</c:f>
              <c:strCache>
                <c:ptCount val="1"/>
                <c:pt idx="0">
                  <c:v>Sum of Map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'CATEGORY dasboard'!$B$6:$B$20</c:f>
              <c:strCache>
                <c:ptCount val="14"/>
                <c:pt idx="0">
                  <c:v>Beverages</c:v>
                </c:pt>
                <c:pt idx="1">
                  <c:v>Jams, Preserves</c:v>
                </c:pt>
                <c:pt idx="2">
                  <c:v>Dried Fruit &amp; Nuts</c:v>
                </c:pt>
                <c:pt idx="3">
                  <c:v>Dairy Products</c:v>
                </c:pt>
                <c:pt idx="4">
                  <c:v>Soups</c:v>
                </c:pt>
                <c:pt idx="5">
                  <c:v>Sauces</c:v>
                </c:pt>
                <c:pt idx="6">
                  <c:v>Candy</c:v>
                </c:pt>
                <c:pt idx="7">
                  <c:v>Canned Meat</c:v>
                </c:pt>
                <c:pt idx="8">
                  <c:v>Pasta</c:v>
                </c:pt>
                <c:pt idx="9">
                  <c:v>Canned Fruit &amp; Vegetables</c:v>
                </c:pt>
                <c:pt idx="10">
                  <c:v>Condiments</c:v>
                </c:pt>
                <c:pt idx="11">
                  <c:v>Baked Goods &amp; Mixes</c:v>
                </c:pt>
                <c:pt idx="12">
                  <c:v>Oil</c:v>
                </c:pt>
                <c:pt idx="13">
                  <c:v>Grains</c:v>
                </c:pt>
              </c:strCache>
            </c:strRef>
          </c:cat>
          <c:val>
            <c:numRef>
              <c:f>'CATEGORY dasboard'!$D$6:$D$20</c:f>
              <c:numCache>
                <c:formatCode>0.00%</c:formatCode>
                <c:ptCount val="14"/>
                <c:pt idx="0">
                  <c:v>0.43478302625197479</c:v>
                </c:pt>
                <c:pt idx="1">
                  <c:v>0.1102515714210256</c:v>
                </c:pt>
                <c:pt idx="2">
                  <c:v>7.1308180993128481E-2</c:v>
                </c:pt>
                <c:pt idx="3">
                  <c:v>6.0158174510566577E-2</c:v>
                </c:pt>
                <c:pt idx="4">
                  <c:v>5.3752442965459953E-2</c:v>
                </c:pt>
                <c:pt idx="5">
                  <c:v>4.9939736183739813E-2</c:v>
                </c:pt>
                <c:pt idx="6">
                  <c:v>4.8979356641744819E-2</c:v>
                </c:pt>
                <c:pt idx="7">
                  <c:v>4.241036057449904E-2</c:v>
                </c:pt>
                <c:pt idx="8">
                  <c:v>3.745480213780486E-2</c:v>
                </c:pt>
                <c:pt idx="9">
                  <c:v>2.9963841710243889E-2</c:v>
                </c:pt>
                <c:pt idx="10">
                  <c:v>2.65064753590619E-2</c:v>
                </c:pt>
                <c:pt idx="11">
                  <c:v>1.8861854204781731E-2</c:v>
                </c:pt>
                <c:pt idx="12">
                  <c:v>1.0252051610796587E-2</c:v>
                </c:pt>
                <c:pt idx="13">
                  <c:v>5.3781254351719801E-3</c:v>
                </c:pt>
              </c:numCache>
            </c:numRef>
          </c:val>
          <c:smooth val="0"/>
          <c:extLst>
            <c:ext xmlns:c16="http://schemas.microsoft.com/office/drawing/2014/chart" uri="{C3380CC4-5D6E-409C-BE32-E72D297353CC}">
              <c16:uniqueId val="{00000001-3338-425E-8E2D-B7DBC02B1751}"/>
            </c:ext>
          </c:extLst>
        </c:ser>
        <c:dLbls>
          <c:showLegendKey val="0"/>
          <c:showVal val="0"/>
          <c:showCatName val="0"/>
          <c:showSerName val="0"/>
          <c:showPercent val="0"/>
          <c:showBubbleSize val="0"/>
        </c:dLbls>
        <c:marker val="1"/>
        <c:smooth val="0"/>
        <c:axId val="1317876256"/>
        <c:axId val="1317879584"/>
      </c:lineChart>
      <c:catAx>
        <c:axId val="131787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17875424"/>
        <c:crosses val="autoZero"/>
        <c:auto val="1"/>
        <c:lblAlgn val="ctr"/>
        <c:lblOffset val="100"/>
        <c:noMultiLvlLbl val="0"/>
      </c:catAx>
      <c:valAx>
        <c:axId val="131787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17879168"/>
        <c:crosses val="autoZero"/>
        <c:crossBetween val="between"/>
      </c:valAx>
      <c:valAx>
        <c:axId val="13178795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17876256"/>
        <c:crosses val="max"/>
        <c:crossBetween val="between"/>
      </c:valAx>
      <c:catAx>
        <c:axId val="1317876256"/>
        <c:scaling>
          <c:orientation val="minMax"/>
        </c:scaling>
        <c:delete val="1"/>
        <c:axPos val="b"/>
        <c:numFmt formatCode="General" sourceLinked="1"/>
        <c:majorTickMark val="out"/>
        <c:minorTickMark val="none"/>
        <c:tickLblPos val="nextTo"/>
        <c:crossAx val="13178795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reate a PivotTable'!A3"/></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16</xdr:row>
      <xdr:rowOff>0</xdr:rowOff>
    </xdr:from>
    <xdr:to>
      <xdr:col>18</xdr:col>
      <xdr:colOff>612321</xdr:colOff>
      <xdr:row>22</xdr:row>
      <xdr:rowOff>146957</xdr:rowOff>
    </xdr:to>
    <mc:AlternateContent xmlns:mc="http://schemas.openxmlformats.org/markup-compatibility/2006" xmlns:tsle="http://schemas.microsoft.com/office/drawing/2012/timeslicer">
      <mc:Choice Requires="tsle">
        <xdr:graphicFrame macro="">
          <xdr:nvGraphicFramePr>
            <xdr:cNvPr id="12" name="Order Date 1">
              <a:extLst>
                <a:ext uri="{FF2B5EF4-FFF2-40B4-BE49-F238E27FC236}">
                  <a16:creationId xmlns:a16="http://schemas.microsoft.com/office/drawing/2014/main" id="{2EA92E3A-A637-4869-B7E5-CB0A6440C44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704294" y="3406588"/>
              <a:ext cx="3346556" cy="1424428"/>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14</xdr:col>
      <xdr:colOff>0</xdr:colOff>
      <xdr:row>1</xdr:row>
      <xdr:rowOff>0</xdr:rowOff>
    </xdr:from>
    <xdr:to>
      <xdr:col>16</xdr:col>
      <xdr:colOff>468085</xdr:colOff>
      <xdr:row>14</xdr:row>
      <xdr:rowOff>156481</xdr:rowOff>
    </xdr:to>
    <mc:AlternateContent xmlns:mc="http://schemas.openxmlformats.org/markup-compatibility/2006" xmlns:a14="http://schemas.microsoft.com/office/drawing/2010/main">
      <mc:Choice Requires="a14">
        <xdr:graphicFrame macro="">
          <xdr:nvGraphicFramePr>
            <xdr:cNvPr id="13" name="Product Name">
              <a:extLst>
                <a:ext uri="{FF2B5EF4-FFF2-40B4-BE49-F238E27FC236}">
                  <a16:creationId xmlns:a16="http://schemas.microsoft.com/office/drawing/2014/main" id="{DB21480A-5D49-4D48-A142-ED3E109D0E74}"/>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9704294" y="212912"/>
              <a:ext cx="1835203" cy="2924334"/>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xdr:row>
      <xdr:rowOff>0</xdr:rowOff>
    </xdr:from>
    <xdr:to>
      <xdr:col>13</xdr:col>
      <xdr:colOff>145677</xdr:colOff>
      <xdr:row>17</xdr:row>
      <xdr:rowOff>11206</xdr:rowOff>
    </xdr:to>
    <xdr:graphicFrame macro="">
      <xdr:nvGraphicFramePr>
        <xdr:cNvPr id="14" name="Chart 13">
          <a:extLst>
            <a:ext uri="{FF2B5EF4-FFF2-40B4-BE49-F238E27FC236}">
              <a16:creationId xmlns:a16="http://schemas.microsoft.com/office/drawing/2014/main" id="{579CD2D5-480E-42C9-891D-1562794F6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xdr:row>
      <xdr:rowOff>211666</xdr:rowOff>
    </xdr:from>
    <xdr:to>
      <xdr:col>12</xdr:col>
      <xdr:colOff>74083</xdr:colOff>
      <xdr:row>20</xdr:row>
      <xdr:rowOff>21166</xdr:rowOff>
    </xdr:to>
    <xdr:graphicFrame macro="">
      <xdr:nvGraphicFramePr>
        <xdr:cNvPr id="31" name="Chart 30">
          <a:extLst>
            <a:ext uri="{FF2B5EF4-FFF2-40B4-BE49-F238E27FC236}">
              <a16:creationId xmlns:a16="http://schemas.microsoft.com/office/drawing/2014/main" id="{93648DD2-3FF6-43C5-8CCB-B8631313B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8</xdr:row>
      <xdr:rowOff>0</xdr:rowOff>
    </xdr:from>
    <xdr:to>
      <xdr:col>17</xdr:col>
      <xdr:colOff>9525</xdr:colOff>
      <xdr:row>9</xdr:row>
      <xdr:rowOff>9525</xdr:rowOff>
    </xdr:to>
    <xdr:pic>
      <xdr:nvPicPr>
        <xdr:cNvPr id="32" name="Picture 31">
          <a:extLst>
            <a:ext uri="{FF2B5EF4-FFF2-40B4-BE49-F238E27FC236}">
              <a16:creationId xmlns:a16="http://schemas.microsoft.com/office/drawing/2014/main" id="{F286C430-6FC3-3CD1-40AF-9CFE03C3DA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287250" y="1676400"/>
          <a:ext cx="6953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302558</xdr:colOff>
      <xdr:row>3</xdr:row>
      <xdr:rowOff>201707</xdr:rowOff>
    </xdr:from>
    <xdr:to>
      <xdr:col>15</xdr:col>
      <xdr:colOff>349250</xdr:colOff>
      <xdr:row>20</xdr:row>
      <xdr:rowOff>10584</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D013E216-D1A4-495C-A839-6BD3A20859D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01734" y="840442"/>
              <a:ext cx="1871383" cy="311523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76200</xdr:colOff>
      <xdr:row>16</xdr:row>
      <xdr:rowOff>9525</xdr:rowOff>
    </xdr:to>
    <xdr:pic>
      <xdr:nvPicPr>
        <xdr:cNvPr id="4" name="Picture 3">
          <a:extLst>
            <a:ext uri="{FF2B5EF4-FFF2-40B4-BE49-F238E27FC236}">
              <a16:creationId xmlns:a16="http://schemas.microsoft.com/office/drawing/2014/main" id="{17DAC096-BDBE-04F3-7B9E-5B8EEAE293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734800"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16</xdr:col>
      <xdr:colOff>519953</xdr:colOff>
      <xdr:row>1</xdr:row>
      <xdr:rowOff>70038</xdr:rowOff>
    </xdr:from>
    <xdr:to>
      <xdr:col>19</xdr:col>
      <xdr:colOff>658906</xdr:colOff>
      <xdr:row>15</xdr:row>
      <xdr:rowOff>123266</xdr:rowOff>
    </xdr:to>
    <xdr:grpSp>
      <xdr:nvGrpSpPr>
        <xdr:cNvPr id="11" name="Group 10">
          <a:extLst>
            <a:ext uri="{FF2B5EF4-FFF2-40B4-BE49-F238E27FC236}">
              <a16:creationId xmlns:a16="http://schemas.microsoft.com/office/drawing/2014/main" id="{ED462769-92A6-4C9E-BA55-F3742D642399}"/>
            </a:ext>
          </a:extLst>
        </xdr:cNvPr>
        <xdr:cNvGrpSpPr/>
      </xdr:nvGrpSpPr>
      <xdr:grpSpPr>
        <a:xfrm>
          <a:off x="17202310" y="274145"/>
          <a:ext cx="2914810" cy="2910728"/>
          <a:chOff x="800100" y="865655"/>
          <a:chExt cx="2895600" cy="3222251"/>
        </a:xfrm>
      </xdr:grpSpPr>
      <xdr:sp macro="" textlink="">
        <xdr:nvSpPr>
          <xdr:cNvPr id="2" name="Speech Bubble: Rectangle 1">
            <a:extLst>
              <a:ext uri="{FF2B5EF4-FFF2-40B4-BE49-F238E27FC236}">
                <a16:creationId xmlns:a16="http://schemas.microsoft.com/office/drawing/2014/main" id="{AF2CBAD5-5771-4F73-941C-F756B8C16732}"/>
              </a:ext>
            </a:extLst>
          </xdr:cNvPr>
          <xdr:cNvSpPr/>
        </xdr:nvSpPr>
        <xdr:spPr>
          <a:xfrm>
            <a:off x="800100" y="865655"/>
            <a:ext cx="2895600" cy="3222251"/>
          </a:xfrm>
          <a:prstGeom prst="wedgeRectCallout">
            <a:avLst>
              <a:gd name="adj1" fmla="val -55536"/>
              <a:gd name="adj2" fmla="val -26563"/>
            </a:avLst>
          </a:prstGeom>
          <a:solidFill>
            <a:schemeClr val="bg1"/>
          </a:solidFill>
          <a:ln>
            <a:solidFill>
              <a:srgbClr val="22744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a:solidFill>
                  <a:srgbClr val="227447"/>
                </a:solidFill>
                <a:latin typeface="Segoe UI" panose="020B0502040204020203" pitchFamily="34" charset="0"/>
                <a:cs typeface="Segoe UI" panose="020B0502040204020203" pitchFamily="34" charset="0"/>
              </a:rPr>
              <a:t>Verify your</a:t>
            </a:r>
            <a:r>
              <a:rPr lang="en-US" sz="1800" b="1" i="0" baseline="0">
                <a:solidFill>
                  <a:srgbClr val="227447"/>
                </a:solidFill>
                <a:latin typeface="Segoe UI" panose="020B0502040204020203" pitchFamily="34" charset="0"/>
                <a:cs typeface="Segoe UI" panose="020B0502040204020203" pitchFamily="34" charset="0"/>
              </a:rPr>
              <a:t> data</a:t>
            </a:r>
          </a:p>
          <a:p>
            <a:pPr algn="l"/>
            <a:endParaRPr lang="en-US" sz="1200" b="0" i="0" baseline="0">
              <a:solidFill>
                <a:srgbClr val="227447"/>
              </a:solidFill>
              <a:latin typeface="Segoe UI" panose="020B0502040204020203" pitchFamily="34" charset="0"/>
              <a:cs typeface="Segoe UI" panose="020B0502040204020203" pitchFamily="34" charset="0"/>
            </a:endParaRPr>
          </a:p>
          <a:p>
            <a:pPr algn="l"/>
            <a:r>
              <a:rPr lang="en-US" sz="1200" b="0" i="0" baseline="0">
                <a:solidFill>
                  <a:srgbClr val="227447"/>
                </a:solidFill>
                <a:latin typeface="Segoe UI" panose="020B0502040204020203" pitchFamily="34" charset="0"/>
                <a:cs typeface="Segoe UI" panose="020B0502040204020203" pitchFamily="34" charset="0"/>
              </a:rPr>
              <a:t>• Copy/Paste or query from another source or application.</a:t>
            </a:r>
          </a:p>
          <a:p>
            <a:pPr algn="l"/>
            <a:endParaRPr lang="en-US" sz="1200" b="0" i="0" baseline="0">
              <a:solidFill>
                <a:srgbClr val="227447"/>
              </a:solidFill>
              <a:latin typeface="Segoe UI" panose="020B0502040204020203" pitchFamily="34" charset="0"/>
              <a:cs typeface="Segoe UI" panose="020B0502040204020203" pitchFamily="34" charset="0"/>
            </a:endParaRPr>
          </a:p>
          <a:p>
            <a:pPr algn="l"/>
            <a:r>
              <a:rPr lang="en-US" sz="1200" b="0" i="0" baseline="0">
                <a:solidFill>
                  <a:srgbClr val="227447"/>
                </a:solidFill>
                <a:latin typeface="Segoe UI" panose="020B0502040204020203" pitchFamily="34" charset="0"/>
                <a:cs typeface="Segoe UI" panose="020B0502040204020203" pitchFamily="34" charset="0"/>
              </a:rPr>
              <a:t>• This data was imported from the Northwind Traders database template for Microsoft Access.</a:t>
            </a:r>
          </a:p>
          <a:p>
            <a:pPr algn="l"/>
            <a:endParaRPr lang="en-US" sz="1200" b="0" i="0" baseline="0">
              <a:solidFill>
                <a:srgbClr val="227447"/>
              </a:solidFill>
              <a:latin typeface="Segoe UI" panose="020B0502040204020203" pitchFamily="34" charset="0"/>
              <a:cs typeface="Segoe UI" panose="020B0502040204020203" pitchFamily="34" charset="0"/>
            </a:endParaRPr>
          </a:p>
          <a:p>
            <a:pPr algn="l"/>
            <a:r>
              <a:rPr lang="en-US" sz="1200" b="0" i="0" baseline="0">
                <a:solidFill>
                  <a:srgbClr val="227447"/>
                </a:solidFill>
                <a:latin typeface="Segoe UI" panose="020B0502040204020203" pitchFamily="34" charset="0"/>
                <a:cs typeface="Segoe UI" panose="020B0502040204020203" pitchFamily="34" charset="0"/>
              </a:rPr>
              <a:t>• For best results, make sure that your data is in Excel Table format (Home &gt; Format as Table), and doesn't contain any blank rows or columns.</a:t>
            </a:r>
            <a:endParaRPr lang="en-US" sz="1200" b="0" i="0">
              <a:solidFill>
                <a:srgbClr val="227447"/>
              </a:solidFill>
              <a:latin typeface="Segoe UI" panose="020B0502040204020203" pitchFamily="34" charset="0"/>
              <a:cs typeface="Segoe UI" panose="020B0502040204020203" pitchFamily="34" charset="0"/>
            </a:endParaRPr>
          </a:p>
        </xdr:txBody>
      </xdr:sp>
      <xdr:sp macro="" textlink="">
        <xdr:nvSpPr>
          <xdr:cNvPr id="3" name="TextBox 2">
            <a:extLst>
              <a:ext uri="{FF2B5EF4-FFF2-40B4-BE49-F238E27FC236}">
                <a16:creationId xmlns:a16="http://schemas.microsoft.com/office/drawing/2014/main" id="{A0E8F95D-0192-40E2-8628-509403394E67}"/>
              </a:ext>
            </a:extLst>
          </xdr:cNvPr>
          <xdr:cNvSpPr txBox="1"/>
        </xdr:nvSpPr>
        <xdr:spPr>
          <a:xfrm>
            <a:off x="866775" y="905751"/>
            <a:ext cx="333375" cy="338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a:solidFill>
                  <a:srgbClr val="227447"/>
                </a:solidFill>
                <a:latin typeface="Segoe UI" panose="020B0502040204020203" pitchFamily="34" charset="0"/>
                <a:cs typeface="Segoe UI" panose="020B0502040204020203" pitchFamily="34" charset="0"/>
              </a:rPr>
              <a:t>1</a:t>
            </a:r>
          </a:p>
        </xdr:txBody>
      </xdr:sp>
    </xdr:grpSp>
    <xdr:clientData/>
  </xdr:twoCellAnchor>
  <xdr:twoCellAnchor>
    <xdr:from>
      <xdr:col>16</xdr:col>
      <xdr:colOff>514912</xdr:colOff>
      <xdr:row>16</xdr:row>
      <xdr:rowOff>49305</xdr:rowOff>
    </xdr:from>
    <xdr:to>
      <xdr:col>19</xdr:col>
      <xdr:colOff>665878</xdr:colOff>
      <xdr:row>28</xdr:row>
      <xdr:rowOff>112059</xdr:rowOff>
    </xdr:to>
    <xdr:grpSp>
      <xdr:nvGrpSpPr>
        <xdr:cNvPr id="4" name="Group 3">
          <a:extLst>
            <a:ext uri="{FF2B5EF4-FFF2-40B4-BE49-F238E27FC236}">
              <a16:creationId xmlns:a16="http://schemas.microsoft.com/office/drawing/2014/main" id="{E69D073D-F48D-4913-BCB5-811A50D48408}"/>
            </a:ext>
          </a:extLst>
        </xdr:cNvPr>
        <xdr:cNvGrpSpPr/>
      </xdr:nvGrpSpPr>
      <xdr:grpSpPr>
        <a:xfrm>
          <a:off x="17197269" y="3315019"/>
          <a:ext cx="2926823" cy="2512040"/>
          <a:chOff x="17312530" y="3455893"/>
          <a:chExt cx="2907613" cy="2617695"/>
        </a:xfrm>
      </xdr:grpSpPr>
      <xdr:grpSp>
        <xdr:nvGrpSpPr>
          <xdr:cNvPr id="9" name="Group 8">
            <a:extLst>
              <a:ext uri="{FF2B5EF4-FFF2-40B4-BE49-F238E27FC236}">
                <a16:creationId xmlns:a16="http://schemas.microsoft.com/office/drawing/2014/main" id="{53662A56-EF30-47DE-9799-3DA2342007C6}"/>
              </a:ext>
            </a:extLst>
          </xdr:cNvPr>
          <xdr:cNvGrpSpPr/>
        </xdr:nvGrpSpPr>
        <xdr:grpSpPr>
          <a:xfrm>
            <a:off x="17312530" y="3455893"/>
            <a:ext cx="2907613" cy="2617695"/>
            <a:chOff x="4033559" y="867335"/>
            <a:chExt cx="2907613" cy="3222251"/>
          </a:xfrm>
        </xdr:grpSpPr>
        <xdr:sp macro="" textlink="">
          <xdr:nvSpPr>
            <xdr:cNvPr id="6" name="Speech Bubble: Rectangle 5">
              <a:extLst>
                <a:ext uri="{FF2B5EF4-FFF2-40B4-BE49-F238E27FC236}">
                  <a16:creationId xmlns:a16="http://schemas.microsoft.com/office/drawing/2014/main" id="{2EBDCED4-8175-4E12-A6D0-0A6E6597430F}"/>
                </a:ext>
              </a:extLst>
            </xdr:cNvPr>
            <xdr:cNvSpPr/>
          </xdr:nvSpPr>
          <xdr:spPr>
            <a:xfrm>
              <a:off x="4033559" y="867335"/>
              <a:ext cx="2907613" cy="3222251"/>
            </a:xfrm>
            <a:prstGeom prst="wedgeRectCallout">
              <a:avLst>
                <a:gd name="adj1" fmla="val -55536"/>
                <a:gd name="adj2" fmla="val -26563"/>
              </a:avLst>
            </a:prstGeom>
            <a:solidFill>
              <a:schemeClr val="bg1"/>
            </a:solidFill>
            <a:ln>
              <a:solidFill>
                <a:srgbClr val="22744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a:solidFill>
                    <a:srgbClr val="227447"/>
                  </a:solidFill>
                  <a:latin typeface="Segoe UI" panose="020B0502040204020203" pitchFamily="34" charset="0"/>
                  <a:cs typeface="Segoe UI" panose="020B0502040204020203" pitchFamily="34" charset="0"/>
                </a:rPr>
                <a:t>Create a PivotTable</a:t>
              </a:r>
              <a:endParaRPr lang="en-US" sz="1800" b="1" i="0" baseline="0">
                <a:solidFill>
                  <a:srgbClr val="227447"/>
                </a:solidFill>
                <a:latin typeface="Segoe UI" panose="020B0502040204020203" pitchFamily="34" charset="0"/>
                <a:cs typeface="Segoe UI" panose="020B0502040204020203" pitchFamily="34" charset="0"/>
              </a:endParaRPr>
            </a:p>
            <a:p>
              <a:pPr algn="l"/>
              <a:endParaRPr lang="en-US" sz="1200" b="0" i="0" baseline="0">
                <a:solidFill>
                  <a:srgbClr val="227447"/>
                </a:solidFill>
                <a:latin typeface="Segoe UI" panose="020B0502040204020203" pitchFamily="34" charset="0"/>
                <a:cs typeface="Segoe UI" panose="020B0502040204020203" pitchFamily="34" charset="0"/>
              </a:endParaRPr>
            </a:p>
            <a:p>
              <a:pPr algn="l"/>
              <a:r>
                <a:rPr lang="en-US" sz="1200" b="0" i="0" baseline="0">
                  <a:solidFill>
                    <a:srgbClr val="227447"/>
                  </a:solidFill>
                  <a:latin typeface="Segoe UI" panose="020B0502040204020203" pitchFamily="34" charset="0"/>
                  <a:cs typeface="Segoe UI" panose="020B0502040204020203" pitchFamily="34" charset="0"/>
                </a:rPr>
                <a:t>• Select anywhere in your data range, then go to Insert &gt; PivotTable &gt; New Worksheet &gt; OK.</a:t>
              </a:r>
            </a:p>
            <a:p>
              <a:pPr algn="l"/>
              <a:endParaRPr lang="en-US" sz="1200" b="0" i="0" baseline="0">
                <a:solidFill>
                  <a:srgbClr val="227447"/>
                </a:solidFill>
                <a:latin typeface="Segoe UI" panose="020B0502040204020203" pitchFamily="34" charset="0"/>
                <a:cs typeface="Segoe UI" panose="020B0502040204020203" pitchFamily="34" charset="0"/>
              </a:endParaRPr>
            </a:p>
            <a:p>
              <a:pPr algn="l"/>
              <a:r>
                <a:rPr lang="en-US" sz="1200" b="0" i="0" baseline="0">
                  <a:solidFill>
                    <a:srgbClr val="227447"/>
                  </a:solidFill>
                  <a:latin typeface="Segoe UI" panose="020B0502040204020203" pitchFamily="34" charset="0"/>
                  <a:cs typeface="Segoe UI" panose="020B0502040204020203" pitchFamily="34" charset="0"/>
                </a:rPr>
                <a:t>• We've already taken this step for you on the next worksheet, but you can do it yourself.</a:t>
              </a:r>
              <a:endParaRPr lang="en-US" sz="1200" b="0" i="0">
                <a:solidFill>
                  <a:srgbClr val="227447"/>
                </a:solidFill>
                <a:latin typeface="Segoe UI" panose="020B0502040204020203" pitchFamily="34" charset="0"/>
                <a:cs typeface="Segoe UI" panose="020B0502040204020203" pitchFamily="34" charset="0"/>
              </a:endParaRPr>
            </a:p>
          </xdr:txBody>
        </xdr:sp>
        <xdr:sp macro="" textlink="">
          <xdr:nvSpPr>
            <xdr:cNvPr id="7" name="TextBox 6">
              <a:extLst>
                <a:ext uri="{FF2B5EF4-FFF2-40B4-BE49-F238E27FC236}">
                  <a16:creationId xmlns:a16="http://schemas.microsoft.com/office/drawing/2014/main" id="{8A0A76BF-466F-4542-BAEC-9113E6887488}"/>
                </a:ext>
              </a:extLst>
            </xdr:cNvPr>
            <xdr:cNvSpPr txBox="1"/>
          </xdr:nvSpPr>
          <xdr:spPr>
            <a:xfrm>
              <a:off x="4095839" y="926540"/>
              <a:ext cx="334406" cy="338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a:solidFill>
                    <a:srgbClr val="227447"/>
                  </a:solidFill>
                  <a:latin typeface="Segoe UI" panose="020B0502040204020203" pitchFamily="34" charset="0"/>
                  <a:cs typeface="Segoe UI" panose="020B0502040204020203" pitchFamily="34" charset="0"/>
                </a:rPr>
                <a:t>2</a:t>
              </a:r>
            </a:p>
          </xdr:txBody>
        </xdr:sp>
      </xdr:grpSp>
      <xdr:sp macro="" textlink="">
        <xdr:nvSpPr>
          <xdr:cNvPr id="10" name="TextBox 9">
            <a:hlinkClick xmlns:r="http://schemas.openxmlformats.org/officeDocument/2006/relationships" r:id="rId1"/>
            <a:extLst>
              <a:ext uri="{FF2B5EF4-FFF2-40B4-BE49-F238E27FC236}">
                <a16:creationId xmlns:a16="http://schemas.microsoft.com/office/drawing/2014/main" id="{D21890AB-A564-4FAD-97E0-FD4B33B9BA90}"/>
              </a:ext>
            </a:extLst>
          </xdr:cNvPr>
          <xdr:cNvSpPr txBox="1"/>
        </xdr:nvSpPr>
        <xdr:spPr>
          <a:xfrm>
            <a:off x="18262072" y="5580529"/>
            <a:ext cx="1008529" cy="358588"/>
          </a:xfrm>
          <a:prstGeom prst="rect">
            <a:avLst/>
          </a:prstGeom>
          <a:noFill/>
          <a:ln w="9525" cmpd="sng">
            <a:solidFill>
              <a:srgbClr val="22744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227447"/>
                </a:solidFill>
              </a:rPr>
              <a:t>NEXT &gt;</a:t>
            </a:r>
          </a:p>
        </xdr:txBody>
      </xdr:sp>
    </xdr:grpSp>
    <xdr:clientData/>
  </xdr:twoCellAnchor>
  <xdr:twoCellAnchor editAs="oneCell">
    <xdr:from>
      <xdr:col>16</xdr:col>
      <xdr:colOff>504264</xdr:colOff>
      <xdr:row>29</xdr:row>
      <xdr:rowOff>22413</xdr:rowOff>
    </xdr:from>
    <xdr:to>
      <xdr:col>21</xdr:col>
      <xdr:colOff>132881</xdr:colOff>
      <xdr:row>44</xdr:row>
      <xdr:rowOff>171593</xdr:rowOff>
    </xdr:to>
    <xdr:pic>
      <xdr:nvPicPr>
        <xdr:cNvPr id="12" name="Picture 11">
          <a:extLst>
            <a:ext uri="{FF2B5EF4-FFF2-40B4-BE49-F238E27FC236}">
              <a16:creationId xmlns:a16="http://schemas.microsoft.com/office/drawing/2014/main" id="{F4172226-8BAD-459C-91DC-8A4AE12C307D}"/>
            </a:ext>
          </a:extLst>
        </xdr:cNvPr>
        <xdr:cNvPicPr>
          <a:picLocks noChangeAspect="1"/>
        </xdr:cNvPicPr>
      </xdr:nvPicPr>
      <xdr:blipFill>
        <a:blip xmlns:r="http://schemas.openxmlformats.org/officeDocument/2006/relationships" r:embed="rId2"/>
        <a:stretch>
          <a:fillRect/>
        </a:stretch>
      </xdr:blipFill>
      <xdr:spPr>
        <a:xfrm>
          <a:off x="17301882" y="6196854"/>
          <a:ext cx="3752381" cy="334285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5.391364467592" createdVersion="8" refreshedVersion="8" minRefreshableVersion="3" recordCount="49" xr:uid="{34131DEA-A9EA-46C2-9A30-610689A781D7}">
  <cacheSource type="worksheet">
    <worksheetSource name="tbl_Sales"/>
  </cacheSource>
  <cacheFields count="16">
    <cacheField name="Order ID" numFmtId="0">
      <sharedItems containsSemiMixedTypes="0" containsString="0" containsNumber="1" containsInteger="1" minValue="30" maxValue="79" count="35">
        <n v="30"/>
        <n v="31"/>
        <n v="32"/>
        <n v="33"/>
        <n v="34"/>
        <n v="35"/>
        <n v="36"/>
        <n v="37"/>
        <n v="38"/>
        <n v="39"/>
        <n v="42"/>
        <n v="40"/>
        <n v="56"/>
        <n v="55"/>
        <n v="48"/>
        <n v="46"/>
        <n v="50"/>
        <n v="51"/>
        <n v="45"/>
        <n v="47"/>
        <n v="58"/>
        <n v="63"/>
        <n v="60"/>
        <n v="71"/>
        <n v="67"/>
        <n v="69"/>
        <n v="70"/>
        <n v="78"/>
        <n v="75"/>
        <n v="73"/>
        <n v="76"/>
        <n v="77"/>
        <n v="72"/>
        <n v="74"/>
        <n v="79"/>
      </sharedItems>
    </cacheField>
    <cacheField name="Order Date" numFmtId="165">
      <sharedItems containsSemiMixedTypes="0" containsNonDate="0" containsDate="1" containsString="0" minDate="2015-01-15T00:00:00" maxDate="2015-06-24T00:00:00" count="23">
        <d v="2015-01-15T00:00:00"/>
        <d v="2015-01-20T00:00:00"/>
        <d v="2015-01-22T00:00:00"/>
        <d v="2015-01-30T00:00:00"/>
        <d v="2015-02-06T00:00:00"/>
        <d v="2015-02-10T00:00:00"/>
        <d v="2015-02-23T00:00:00"/>
        <d v="2015-03-06T00:00:00"/>
        <d v="2015-03-10T00:00:00"/>
        <d v="2015-03-22T00:00:00"/>
        <d v="2015-03-24T00:00:00"/>
        <d v="2015-04-03T00:00:00"/>
        <d v="2015-04-05T00:00:00"/>
        <d v="2015-04-07T00:00:00"/>
        <d v="2015-04-08T00:00:00"/>
        <d v="2015-04-22T00:00:00"/>
        <d v="2015-04-25T00:00:00"/>
        <d v="2015-04-30T00:00:00"/>
        <d v="2015-05-24T00:00:00"/>
        <d v="2015-06-05T00:00:00"/>
        <d v="2015-06-07T00:00:00"/>
        <d v="2015-06-08T00:00:00"/>
        <d v="2015-06-23T00:00:00"/>
      </sharedItems>
    </cacheField>
    <cacheField name="Employee" numFmtId="0">
      <sharedItems count="8">
        <s v="Anne Hellung-Larsen"/>
        <s v="Jan Kotas"/>
        <s v="Mariya Sergienko"/>
        <s v="Michael Neipper"/>
        <s v="Laura Giussani"/>
        <s v="Nancy Freehafer"/>
        <s v="Andrew Cencini"/>
        <s v="Robert Zare"/>
      </sharedItems>
    </cacheField>
    <cacheField name="Customer Name" numFmtId="0">
      <sharedItems count="14">
        <s v="Company AA"/>
        <s v="Company D"/>
        <s v="Company L"/>
        <s v="Company H"/>
        <s v="Company CC"/>
        <s v="Company C"/>
        <s v="Company F"/>
        <s v="Company BB"/>
        <s v="Company J"/>
        <s v="Company I"/>
        <s v="Company Y"/>
        <s v="Company Z"/>
        <s v="Company A"/>
        <s v="Company K"/>
      </sharedItems>
    </cacheField>
    <cacheField name="Category" numFmtId="0">
      <sharedItems count="14">
        <s v="Beverages"/>
        <s v="Dried Fruit &amp; Nuts"/>
        <s v="Baked Goods &amp; Mixes"/>
        <s v="Candy"/>
        <s v="Soups"/>
        <s v="Sauces"/>
        <s v="Condiments"/>
        <s v="Jams, Preserves"/>
        <s v="Dairy Products"/>
        <s v="Pasta"/>
        <s v="Canned Meat"/>
        <s v="Oil"/>
        <s v="Grains"/>
        <s v="Canned Fruit &amp; Vegetables"/>
      </sharedItems>
    </cacheField>
    <cacheField name="Product Name" numFmtId="0">
      <sharedItems count="23">
        <s v="Beer"/>
        <s v="Dried Plums"/>
        <s v="Dried Apples"/>
        <s v="Dried Pears"/>
        <s v="Chai"/>
        <s v="Coffee"/>
        <s v="Chocolate Biscuits Mix"/>
        <s v="Chocolate"/>
        <s v="Clam Chowder"/>
        <s v="Curry Sauce"/>
        <s v="Green Tea"/>
        <s v="Cajun Seasoning"/>
        <s v="Boysenberry Spread"/>
        <s v="Mozzarella"/>
        <s v="Ravioli"/>
        <s v="Scones"/>
        <s v="Crab Meat"/>
        <s v="Olive Oil"/>
        <s v="Long Grain Rice"/>
        <s v="Marmalade"/>
        <s v="Syrup"/>
        <s v="Almonds"/>
        <s v="Fruit Cocktail"/>
      </sharedItems>
    </cacheField>
    <cacheField name="Sales" numFmtId="164">
      <sharedItems containsSemiMixedTypes="0" containsString="0" containsNumber="1" minValue="35" maxValue="13800" count="44">
        <n v="1400"/>
        <n v="105"/>
        <n v="530"/>
        <n v="300"/>
        <n v="35"/>
        <n v="270"/>
        <n v="920"/>
        <n v="276"/>
        <n v="184"/>
        <n v="127.5"/>
        <n v="1930"/>
        <n v="680"/>
        <n v="13800"/>
        <n v="1275"/>
        <n v="92"/>
        <n v="598"/>
        <n v="220"/>
        <n v="250"/>
        <n v="1218"/>
        <n v="230"/>
        <n v="1000"/>
        <n v="1740"/>
        <n v="1950"/>
        <n v="200"/>
        <n v="552"/>
        <n v="533.75"/>
        <n v="289.5"/>
        <n v="482.5"/>
        <n v="4200"/>
        <n v="280"/>
        <n v="3240"/>
        <n v="500"/>
        <n v="120"/>
        <n v="1392"/>
        <n v="736"/>
        <n v="52.5"/>
        <n v="800"/>
        <n v="1560"/>
        <n v="510"/>
        <n v="96.5"/>
        <n v="660"/>
        <n v="2250"/>
        <n v="1590"/>
        <n v="900"/>
      </sharedItems>
    </cacheField>
    <cacheField name="Payment Type" numFmtId="0">
      <sharedItems containsBlank="1" count="4">
        <s v="Check"/>
        <s v="Credit Card"/>
        <s v="Cash"/>
        <m/>
      </sharedItems>
    </cacheField>
    <cacheField name="CSAT" numFmtId="9">
      <sharedItems containsSemiMixedTypes="0" containsString="0" containsNumber="1" minValue="0.63" maxValue="1" count="22">
        <n v="0.81"/>
        <n v="0.65"/>
        <n v="0.97"/>
        <n v="0.86"/>
        <n v="0.66"/>
        <n v="0.67"/>
        <n v="1"/>
        <n v="0.74"/>
        <n v="0.8"/>
        <n v="0.63"/>
        <n v="0.69"/>
        <n v="0.76"/>
        <n v="0.92"/>
        <n v="0.73"/>
        <n v="0.96"/>
        <n v="0.82"/>
        <n v="0.88"/>
        <n v="0.64"/>
        <n v="0.95"/>
        <n v="0.72"/>
        <n v="0.85"/>
        <n v="0.68"/>
      </sharedItems>
    </cacheField>
    <cacheField name="Last Name" numFmtId="0">
      <sharedItems count="13">
        <s v="Toh"/>
        <s v="Lee"/>
        <s v="Edwards"/>
        <s v="Andersen"/>
        <s v="Axen"/>
        <s v="Pérez-Olaeta"/>
        <s v="Raghav"/>
        <s v="Wacker"/>
        <s v="Mortensen"/>
        <s v="Rodman"/>
        <s v="Liu"/>
        <s v="Bedecs"/>
        <s v="Krschne"/>
      </sharedItems>
    </cacheField>
    <cacheField name="First Name" numFmtId="0">
      <sharedItems count="13">
        <s v="Karen"/>
        <s v="Christina"/>
        <s v="John"/>
        <s v="Elizabeth"/>
        <s v="Soo Jung"/>
        <s v="Thomas"/>
        <s v="Francisco"/>
        <s v="Amritansh"/>
        <s v="Roland"/>
        <s v="Sven"/>
        <s v="Run"/>
        <s v="Anna"/>
        <s v="Peter"/>
      </sharedItems>
    </cacheField>
    <cacheField name="Address" numFmtId="0">
      <sharedItems count="14">
        <s v="789 27th Street"/>
        <s v="123 4th Street"/>
        <s v="123 12th Street"/>
        <s v="123 8th Street"/>
        <s v="789 29th Street"/>
        <s v="123 3rd Street"/>
        <s v="123 6th Street"/>
        <s v="789 28th Street"/>
        <s v="123 10th Street"/>
        <s v="123 9th Street"/>
        <s v="789 25th Street"/>
        <s v="789 26th Street"/>
        <s v="123 1st Street"/>
        <s v="123 11th Street"/>
      </sharedItems>
    </cacheField>
    <cacheField name="City" numFmtId="0">
      <sharedItems count="11">
        <s v="Las Vegas"/>
        <s v="New York"/>
        <s v="Portland"/>
        <s v="Denver"/>
        <s v="Los Angelas"/>
        <s v="Milwaukee"/>
        <s v="Memphis"/>
        <s v="Chicago"/>
        <s v="Salt Lake City"/>
        <s v="Miami"/>
        <s v="Seattle"/>
      </sharedItems>
    </cacheField>
    <cacheField name="State/Province" numFmtId="0">
      <sharedItems count="11">
        <s v="NV"/>
        <s v="NY"/>
        <s v="OR"/>
        <s v="CO"/>
        <s v="CA"/>
        <s v="WI"/>
        <s v="TN"/>
        <s v="IL"/>
        <s v="UT"/>
        <s v="FL"/>
        <s v="WA"/>
      </sharedItems>
    </cacheField>
    <cacheField name="Map Sales" numFmtId="164">
      <sharedItems containsSemiMixedTypes="0" containsString="0" containsNumber="1" minValue="35" maxValue="13800" count="44">
        <n v="1400"/>
        <n v="105"/>
        <n v="530"/>
        <n v="300"/>
        <n v="35"/>
        <n v="270"/>
        <n v="920"/>
        <n v="276"/>
        <n v="184"/>
        <n v="127.5"/>
        <n v="1930"/>
        <n v="680"/>
        <n v="13800"/>
        <n v="1275"/>
        <n v="92"/>
        <n v="598"/>
        <n v="220"/>
        <n v="250"/>
        <n v="1218"/>
        <n v="230"/>
        <n v="1000"/>
        <n v="1740"/>
        <n v="1950"/>
        <n v="200"/>
        <n v="552"/>
        <n v="533.75"/>
        <n v="289.5"/>
        <n v="482.5"/>
        <n v="4200"/>
        <n v="280"/>
        <n v="3240"/>
        <n v="500"/>
        <n v="120"/>
        <n v="1392"/>
        <n v="736"/>
        <n v="52.5"/>
        <n v="800"/>
        <n v="1560"/>
        <n v="510"/>
        <n v="96.5"/>
        <n v="660"/>
        <n v="2250"/>
        <n v="1590"/>
        <n v="900"/>
      </sharedItems>
    </cacheField>
    <cacheField name="Quarter" numFmtId="0">
      <sharedItems containsSemiMixedTypes="0" containsString="0" containsNumber="1" containsInteger="1" minValue="1" maxValue="2" count="2">
        <n v="1"/>
        <n v="2"/>
      </sharedItems>
    </cacheField>
  </cacheFields>
  <extLst>
    <ext xmlns:x14="http://schemas.microsoft.com/office/spreadsheetml/2009/9/main" uri="{725AE2AE-9491-48be-B2B4-4EB974FC3084}">
      <x14:pivotCacheDefinition pivotCacheId="1313684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x v="0"/>
    <x v="0"/>
    <x v="0"/>
    <x v="0"/>
    <x v="0"/>
    <x v="0"/>
    <x v="0"/>
    <x v="0"/>
    <x v="0"/>
    <x v="0"/>
    <x v="0"/>
    <x v="0"/>
    <x v="0"/>
  </r>
  <r>
    <x v="0"/>
    <x v="0"/>
    <x v="0"/>
    <x v="0"/>
    <x v="1"/>
    <x v="1"/>
    <x v="1"/>
    <x v="0"/>
    <x v="1"/>
    <x v="0"/>
    <x v="0"/>
    <x v="0"/>
    <x v="0"/>
    <x v="0"/>
    <x v="1"/>
    <x v="0"/>
  </r>
  <r>
    <x v="1"/>
    <x v="1"/>
    <x v="1"/>
    <x v="1"/>
    <x v="1"/>
    <x v="2"/>
    <x v="2"/>
    <x v="1"/>
    <x v="2"/>
    <x v="1"/>
    <x v="1"/>
    <x v="1"/>
    <x v="1"/>
    <x v="1"/>
    <x v="2"/>
    <x v="0"/>
  </r>
  <r>
    <x v="1"/>
    <x v="1"/>
    <x v="1"/>
    <x v="1"/>
    <x v="1"/>
    <x v="3"/>
    <x v="3"/>
    <x v="1"/>
    <x v="3"/>
    <x v="1"/>
    <x v="1"/>
    <x v="1"/>
    <x v="1"/>
    <x v="1"/>
    <x v="3"/>
    <x v="0"/>
  </r>
  <r>
    <x v="1"/>
    <x v="1"/>
    <x v="1"/>
    <x v="1"/>
    <x v="1"/>
    <x v="1"/>
    <x v="4"/>
    <x v="1"/>
    <x v="4"/>
    <x v="1"/>
    <x v="1"/>
    <x v="1"/>
    <x v="1"/>
    <x v="1"/>
    <x v="4"/>
    <x v="0"/>
  </r>
  <r>
    <x v="2"/>
    <x v="2"/>
    <x v="2"/>
    <x v="2"/>
    <x v="0"/>
    <x v="4"/>
    <x v="5"/>
    <x v="1"/>
    <x v="5"/>
    <x v="2"/>
    <x v="2"/>
    <x v="2"/>
    <x v="0"/>
    <x v="0"/>
    <x v="5"/>
    <x v="0"/>
  </r>
  <r>
    <x v="2"/>
    <x v="2"/>
    <x v="2"/>
    <x v="2"/>
    <x v="0"/>
    <x v="5"/>
    <x v="6"/>
    <x v="1"/>
    <x v="6"/>
    <x v="2"/>
    <x v="2"/>
    <x v="2"/>
    <x v="0"/>
    <x v="0"/>
    <x v="6"/>
    <x v="0"/>
  </r>
  <r>
    <x v="3"/>
    <x v="3"/>
    <x v="3"/>
    <x v="3"/>
    <x v="2"/>
    <x v="6"/>
    <x v="7"/>
    <x v="1"/>
    <x v="6"/>
    <x v="3"/>
    <x v="3"/>
    <x v="3"/>
    <x v="2"/>
    <x v="2"/>
    <x v="7"/>
    <x v="0"/>
  </r>
  <r>
    <x v="4"/>
    <x v="4"/>
    <x v="0"/>
    <x v="1"/>
    <x v="2"/>
    <x v="6"/>
    <x v="8"/>
    <x v="0"/>
    <x v="7"/>
    <x v="1"/>
    <x v="1"/>
    <x v="1"/>
    <x v="1"/>
    <x v="1"/>
    <x v="8"/>
    <x v="0"/>
  </r>
  <r>
    <x v="5"/>
    <x v="5"/>
    <x v="1"/>
    <x v="4"/>
    <x v="3"/>
    <x v="7"/>
    <x v="9"/>
    <x v="0"/>
    <x v="1"/>
    <x v="1"/>
    <x v="4"/>
    <x v="4"/>
    <x v="3"/>
    <x v="3"/>
    <x v="9"/>
    <x v="0"/>
  </r>
  <r>
    <x v="6"/>
    <x v="6"/>
    <x v="2"/>
    <x v="5"/>
    <x v="4"/>
    <x v="8"/>
    <x v="10"/>
    <x v="2"/>
    <x v="8"/>
    <x v="4"/>
    <x v="5"/>
    <x v="5"/>
    <x v="4"/>
    <x v="4"/>
    <x v="10"/>
    <x v="0"/>
  </r>
  <r>
    <x v="7"/>
    <x v="7"/>
    <x v="4"/>
    <x v="6"/>
    <x v="5"/>
    <x v="9"/>
    <x v="11"/>
    <x v="1"/>
    <x v="9"/>
    <x v="5"/>
    <x v="6"/>
    <x v="6"/>
    <x v="5"/>
    <x v="5"/>
    <x v="11"/>
    <x v="0"/>
  </r>
  <r>
    <x v="8"/>
    <x v="8"/>
    <x v="0"/>
    <x v="7"/>
    <x v="0"/>
    <x v="5"/>
    <x v="12"/>
    <x v="0"/>
    <x v="10"/>
    <x v="6"/>
    <x v="7"/>
    <x v="7"/>
    <x v="6"/>
    <x v="6"/>
    <x v="12"/>
    <x v="0"/>
  </r>
  <r>
    <x v="9"/>
    <x v="9"/>
    <x v="1"/>
    <x v="3"/>
    <x v="3"/>
    <x v="7"/>
    <x v="13"/>
    <x v="0"/>
    <x v="11"/>
    <x v="3"/>
    <x v="3"/>
    <x v="3"/>
    <x v="2"/>
    <x v="2"/>
    <x v="13"/>
    <x v="0"/>
  </r>
  <r>
    <x v="10"/>
    <x v="10"/>
    <x v="5"/>
    <x v="8"/>
    <x v="2"/>
    <x v="6"/>
    <x v="14"/>
    <x v="3"/>
    <x v="4"/>
    <x v="7"/>
    <x v="8"/>
    <x v="8"/>
    <x v="7"/>
    <x v="7"/>
    <x v="14"/>
    <x v="0"/>
  </r>
  <r>
    <x v="11"/>
    <x v="10"/>
    <x v="2"/>
    <x v="8"/>
    <x v="0"/>
    <x v="10"/>
    <x v="15"/>
    <x v="1"/>
    <x v="12"/>
    <x v="7"/>
    <x v="8"/>
    <x v="8"/>
    <x v="7"/>
    <x v="7"/>
    <x v="15"/>
    <x v="0"/>
  </r>
  <r>
    <x v="10"/>
    <x v="10"/>
    <x v="5"/>
    <x v="8"/>
    <x v="6"/>
    <x v="11"/>
    <x v="16"/>
    <x v="3"/>
    <x v="13"/>
    <x v="7"/>
    <x v="8"/>
    <x v="8"/>
    <x v="7"/>
    <x v="7"/>
    <x v="16"/>
    <x v="0"/>
  </r>
  <r>
    <x v="10"/>
    <x v="10"/>
    <x v="5"/>
    <x v="8"/>
    <x v="7"/>
    <x v="12"/>
    <x v="17"/>
    <x v="3"/>
    <x v="14"/>
    <x v="7"/>
    <x v="8"/>
    <x v="8"/>
    <x v="7"/>
    <x v="7"/>
    <x v="17"/>
    <x v="0"/>
  </r>
  <r>
    <x v="12"/>
    <x v="11"/>
    <x v="6"/>
    <x v="6"/>
    <x v="3"/>
    <x v="7"/>
    <x v="9"/>
    <x v="0"/>
    <x v="15"/>
    <x v="5"/>
    <x v="6"/>
    <x v="6"/>
    <x v="5"/>
    <x v="5"/>
    <x v="9"/>
    <x v="1"/>
  </r>
  <r>
    <x v="13"/>
    <x v="12"/>
    <x v="5"/>
    <x v="4"/>
    <x v="0"/>
    <x v="0"/>
    <x v="18"/>
    <x v="0"/>
    <x v="5"/>
    <x v="1"/>
    <x v="4"/>
    <x v="4"/>
    <x v="3"/>
    <x v="3"/>
    <x v="18"/>
    <x v="1"/>
  </r>
  <r>
    <x v="14"/>
    <x v="12"/>
    <x v="2"/>
    <x v="3"/>
    <x v="2"/>
    <x v="6"/>
    <x v="19"/>
    <x v="0"/>
    <x v="16"/>
    <x v="3"/>
    <x v="3"/>
    <x v="3"/>
    <x v="2"/>
    <x v="2"/>
    <x v="19"/>
    <x v="1"/>
  </r>
  <r>
    <x v="14"/>
    <x v="12"/>
    <x v="2"/>
    <x v="3"/>
    <x v="5"/>
    <x v="9"/>
    <x v="20"/>
    <x v="0"/>
    <x v="17"/>
    <x v="3"/>
    <x v="3"/>
    <x v="3"/>
    <x v="2"/>
    <x v="2"/>
    <x v="20"/>
    <x v="1"/>
  </r>
  <r>
    <x v="15"/>
    <x v="12"/>
    <x v="7"/>
    <x v="9"/>
    <x v="8"/>
    <x v="13"/>
    <x v="21"/>
    <x v="0"/>
    <x v="12"/>
    <x v="8"/>
    <x v="9"/>
    <x v="9"/>
    <x v="8"/>
    <x v="8"/>
    <x v="21"/>
    <x v="1"/>
  </r>
  <r>
    <x v="15"/>
    <x v="12"/>
    <x v="7"/>
    <x v="9"/>
    <x v="9"/>
    <x v="14"/>
    <x v="22"/>
    <x v="0"/>
    <x v="17"/>
    <x v="8"/>
    <x v="9"/>
    <x v="9"/>
    <x v="8"/>
    <x v="8"/>
    <x v="22"/>
    <x v="1"/>
  </r>
  <r>
    <x v="16"/>
    <x v="12"/>
    <x v="0"/>
    <x v="10"/>
    <x v="2"/>
    <x v="15"/>
    <x v="23"/>
    <x v="2"/>
    <x v="8"/>
    <x v="9"/>
    <x v="2"/>
    <x v="10"/>
    <x v="7"/>
    <x v="7"/>
    <x v="23"/>
    <x v="1"/>
  </r>
  <r>
    <x v="17"/>
    <x v="12"/>
    <x v="0"/>
    <x v="11"/>
    <x v="10"/>
    <x v="16"/>
    <x v="24"/>
    <x v="1"/>
    <x v="6"/>
    <x v="10"/>
    <x v="10"/>
    <x v="11"/>
    <x v="9"/>
    <x v="9"/>
    <x v="24"/>
    <x v="1"/>
  </r>
  <r>
    <x v="17"/>
    <x v="12"/>
    <x v="0"/>
    <x v="11"/>
    <x v="11"/>
    <x v="17"/>
    <x v="25"/>
    <x v="1"/>
    <x v="18"/>
    <x v="10"/>
    <x v="10"/>
    <x v="11"/>
    <x v="9"/>
    <x v="9"/>
    <x v="25"/>
    <x v="1"/>
  </r>
  <r>
    <x v="17"/>
    <x v="12"/>
    <x v="0"/>
    <x v="11"/>
    <x v="4"/>
    <x v="8"/>
    <x v="26"/>
    <x v="1"/>
    <x v="4"/>
    <x v="10"/>
    <x v="10"/>
    <x v="11"/>
    <x v="9"/>
    <x v="9"/>
    <x v="26"/>
    <x v="1"/>
  </r>
  <r>
    <x v="18"/>
    <x v="13"/>
    <x v="5"/>
    <x v="7"/>
    <x v="10"/>
    <x v="16"/>
    <x v="6"/>
    <x v="1"/>
    <x v="2"/>
    <x v="6"/>
    <x v="7"/>
    <x v="7"/>
    <x v="6"/>
    <x v="6"/>
    <x v="6"/>
    <x v="1"/>
  </r>
  <r>
    <x v="18"/>
    <x v="13"/>
    <x v="5"/>
    <x v="7"/>
    <x v="4"/>
    <x v="8"/>
    <x v="27"/>
    <x v="1"/>
    <x v="2"/>
    <x v="6"/>
    <x v="7"/>
    <x v="7"/>
    <x v="6"/>
    <x v="6"/>
    <x v="27"/>
    <x v="1"/>
  </r>
  <r>
    <x v="19"/>
    <x v="14"/>
    <x v="3"/>
    <x v="6"/>
    <x v="0"/>
    <x v="0"/>
    <x v="28"/>
    <x v="1"/>
    <x v="0"/>
    <x v="5"/>
    <x v="6"/>
    <x v="6"/>
    <x v="5"/>
    <x v="5"/>
    <x v="28"/>
    <x v="1"/>
  </r>
  <r>
    <x v="20"/>
    <x v="15"/>
    <x v="1"/>
    <x v="1"/>
    <x v="12"/>
    <x v="18"/>
    <x v="29"/>
    <x v="1"/>
    <x v="4"/>
    <x v="1"/>
    <x v="1"/>
    <x v="1"/>
    <x v="1"/>
    <x v="1"/>
    <x v="29"/>
    <x v="1"/>
  </r>
  <r>
    <x v="20"/>
    <x v="15"/>
    <x v="1"/>
    <x v="1"/>
    <x v="7"/>
    <x v="19"/>
    <x v="30"/>
    <x v="1"/>
    <x v="19"/>
    <x v="1"/>
    <x v="1"/>
    <x v="1"/>
    <x v="1"/>
    <x v="1"/>
    <x v="30"/>
    <x v="1"/>
  </r>
  <r>
    <x v="21"/>
    <x v="16"/>
    <x v="2"/>
    <x v="5"/>
    <x v="6"/>
    <x v="20"/>
    <x v="31"/>
    <x v="2"/>
    <x v="17"/>
    <x v="4"/>
    <x v="5"/>
    <x v="5"/>
    <x v="4"/>
    <x v="4"/>
    <x v="31"/>
    <x v="1"/>
  </r>
  <r>
    <x v="21"/>
    <x v="16"/>
    <x v="2"/>
    <x v="5"/>
    <x v="5"/>
    <x v="9"/>
    <x v="32"/>
    <x v="2"/>
    <x v="4"/>
    <x v="4"/>
    <x v="5"/>
    <x v="5"/>
    <x v="4"/>
    <x v="4"/>
    <x v="32"/>
    <x v="1"/>
  </r>
  <r>
    <x v="22"/>
    <x v="17"/>
    <x v="3"/>
    <x v="3"/>
    <x v="8"/>
    <x v="13"/>
    <x v="33"/>
    <x v="1"/>
    <x v="8"/>
    <x v="3"/>
    <x v="3"/>
    <x v="3"/>
    <x v="2"/>
    <x v="2"/>
    <x v="33"/>
    <x v="1"/>
  </r>
  <r>
    <x v="23"/>
    <x v="18"/>
    <x v="5"/>
    <x v="12"/>
    <x v="10"/>
    <x v="16"/>
    <x v="34"/>
    <x v="3"/>
    <x v="12"/>
    <x v="11"/>
    <x v="11"/>
    <x v="12"/>
    <x v="10"/>
    <x v="10"/>
    <x v="34"/>
    <x v="1"/>
  </r>
  <r>
    <x v="24"/>
    <x v="18"/>
    <x v="2"/>
    <x v="8"/>
    <x v="1"/>
    <x v="21"/>
    <x v="23"/>
    <x v="1"/>
    <x v="9"/>
    <x v="7"/>
    <x v="8"/>
    <x v="8"/>
    <x v="7"/>
    <x v="7"/>
    <x v="23"/>
    <x v="1"/>
  </r>
  <r>
    <x v="25"/>
    <x v="18"/>
    <x v="5"/>
    <x v="8"/>
    <x v="1"/>
    <x v="1"/>
    <x v="35"/>
    <x v="3"/>
    <x v="3"/>
    <x v="7"/>
    <x v="8"/>
    <x v="8"/>
    <x v="7"/>
    <x v="7"/>
    <x v="35"/>
    <x v="1"/>
  </r>
  <r>
    <x v="26"/>
    <x v="18"/>
    <x v="5"/>
    <x v="13"/>
    <x v="5"/>
    <x v="9"/>
    <x v="36"/>
    <x v="3"/>
    <x v="8"/>
    <x v="12"/>
    <x v="12"/>
    <x v="13"/>
    <x v="9"/>
    <x v="9"/>
    <x v="36"/>
    <x v="1"/>
  </r>
  <r>
    <x v="27"/>
    <x v="19"/>
    <x v="5"/>
    <x v="4"/>
    <x v="13"/>
    <x v="22"/>
    <x v="37"/>
    <x v="0"/>
    <x v="10"/>
    <x v="1"/>
    <x v="4"/>
    <x v="4"/>
    <x v="3"/>
    <x v="3"/>
    <x v="37"/>
    <x v="1"/>
  </r>
  <r>
    <x v="28"/>
    <x v="19"/>
    <x v="2"/>
    <x v="3"/>
    <x v="3"/>
    <x v="7"/>
    <x v="38"/>
    <x v="0"/>
    <x v="19"/>
    <x v="3"/>
    <x v="3"/>
    <x v="3"/>
    <x v="2"/>
    <x v="2"/>
    <x v="38"/>
    <x v="1"/>
  </r>
  <r>
    <x v="29"/>
    <x v="19"/>
    <x v="7"/>
    <x v="9"/>
    <x v="4"/>
    <x v="8"/>
    <x v="39"/>
    <x v="0"/>
    <x v="1"/>
    <x v="8"/>
    <x v="9"/>
    <x v="9"/>
    <x v="8"/>
    <x v="8"/>
    <x v="39"/>
    <x v="1"/>
  </r>
  <r>
    <x v="30"/>
    <x v="19"/>
    <x v="0"/>
    <x v="10"/>
    <x v="6"/>
    <x v="11"/>
    <x v="40"/>
    <x v="2"/>
    <x v="18"/>
    <x v="9"/>
    <x v="2"/>
    <x v="10"/>
    <x v="7"/>
    <x v="7"/>
    <x v="40"/>
    <x v="1"/>
  </r>
  <r>
    <x v="31"/>
    <x v="19"/>
    <x v="0"/>
    <x v="11"/>
    <x v="7"/>
    <x v="12"/>
    <x v="41"/>
    <x v="1"/>
    <x v="20"/>
    <x v="10"/>
    <x v="10"/>
    <x v="11"/>
    <x v="9"/>
    <x v="9"/>
    <x v="41"/>
    <x v="1"/>
  </r>
  <r>
    <x v="32"/>
    <x v="20"/>
    <x v="5"/>
    <x v="7"/>
    <x v="0"/>
    <x v="5"/>
    <x v="19"/>
    <x v="1"/>
    <x v="14"/>
    <x v="6"/>
    <x v="7"/>
    <x v="7"/>
    <x v="6"/>
    <x v="6"/>
    <x v="19"/>
    <x v="1"/>
  </r>
  <r>
    <x v="33"/>
    <x v="21"/>
    <x v="3"/>
    <x v="6"/>
    <x v="3"/>
    <x v="7"/>
    <x v="38"/>
    <x v="1"/>
    <x v="12"/>
    <x v="5"/>
    <x v="6"/>
    <x v="6"/>
    <x v="5"/>
    <x v="5"/>
    <x v="38"/>
    <x v="1"/>
  </r>
  <r>
    <x v="34"/>
    <x v="22"/>
    <x v="6"/>
    <x v="6"/>
    <x v="1"/>
    <x v="2"/>
    <x v="42"/>
    <x v="0"/>
    <x v="17"/>
    <x v="5"/>
    <x v="6"/>
    <x v="6"/>
    <x v="5"/>
    <x v="5"/>
    <x v="42"/>
    <x v="1"/>
  </r>
  <r>
    <x v="34"/>
    <x v="22"/>
    <x v="6"/>
    <x v="6"/>
    <x v="1"/>
    <x v="3"/>
    <x v="43"/>
    <x v="0"/>
    <x v="21"/>
    <x v="5"/>
    <x v="6"/>
    <x v="6"/>
    <x v="5"/>
    <x v="5"/>
    <x v="4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70F4BE-C5C0-4514-B203-6C63BAF248BE}" name="PivotTable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2:C20" firstHeaderRow="1" firstDataRow="1" firstDataCol="1"/>
  <pivotFields count="16">
    <pivotField showAll="0"/>
    <pivotField numFmtId="165"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axis="axisRow" showAll="0" sortType="ascending">
      <items count="15">
        <item x="12"/>
        <item x="0"/>
        <item x="7"/>
        <item x="5"/>
        <item x="4"/>
        <item x="1"/>
        <item x="6"/>
        <item x="3"/>
        <item x="9"/>
        <item x="8"/>
        <item x="13"/>
        <item x="2"/>
        <item x="10"/>
        <item x="11"/>
        <item t="default"/>
      </items>
    </pivotField>
    <pivotField showAll="0"/>
    <pivotField axis="axisRow" showAll="0" measureFilter="1" sortType="descending">
      <items count="24">
        <item x="21"/>
        <item x="0"/>
        <item x="12"/>
        <item x="11"/>
        <item x="4"/>
        <item x="7"/>
        <item x="6"/>
        <item x="8"/>
        <item x="5"/>
        <item x="16"/>
        <item x="9"/>
        <item x="2"/>
        <item x="3"/>
        <item x="1"/>
        <item x="22"/>
        <item x="10"/>
        <item x="18"/>
        <item x="19"/>
        <item x="13"/>
        <item x="17"/>
        <item x="14"/>
        <item x="15"/>
        <item x="20"/>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9" showAll="0"/>
    <pivotField showAll="0"/>
    <pivotField showAll="0"/>
    <pivotField showAll="0"/>
    <pivotField showAll="0"/>
    <pivotField showAll="0"/>
    <pivotField numFmtId="164" showAll="0"/>
    <pivotField showAll="0"/>
  </pivotFields>
  <rowFields count="2">
    <field x="5"/>
    <field x="3"/>
  </rowFields>
  <rowItems count="18">
    <i>
      <x v="8"/>
    </i>
    <i r="1">
      <x v="2"/>
    </i>
    <i r="1">
      <x v="11"/>
    </i>
    <i>
      <x v="1"/>
    </i>
    <i r="1">
      <x v="1"/>
    </i>
    <i r="1">
      <x v="4"/>
    </i>
    <i r="1">
      <x v="6"/>
    </i>
    <i>
      <x v="17"/>
    </i>
    <i r="1">
      <x v="5"/>
    </i>
    <i>
      <x v="18"/>
    </i>
    <i r="1">
      <x v="7"/>
    </i>
    <i r="1">
      <x v="8"/>
    </i>
    <i>
      <x v="7"/>
    </i>
    <i r="1">
      <x v="2"/>
    </i>
    <i r="1">
      <x v="3"/>
    </i>
    <i r="1">
      <x v="8"/>
    </i>
    <i r="1">
      <x v="13"/>
    </i>
    <i t="grand">
      <x/>
    </i>
  </rowItems>
  <colItems count="1">
    <i/>
  </colItems>
  <dataFields count="1">
    <dataField name="Sum of Sales" fld="6" showDataAs="percentOfTotal" baseField="5" baseItem="8" numFmtId="1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9" name="Order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CA9579-03AA-4AAF-BD1B-556D5871FA2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5:D20" firstHeaderRow="0" firstDataRow="1" firstDataCol="1"/>
  <pivotFields count="16">
    <pivotField showAll="0"/>
    <pivotField numFmtId="165"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pivotField axis="axisRow" showAll="0" sortType="descending">
      <items count="15">
        <item x="2"/>
        <item x="0"/>
        <item x="3"/>
        <item x="13"/>
        <item x="10"/>
        <item x="6"/>
        <item x="8"/>
        <item x="1"/>
        <item x="12"/>
        <item x="7"/>
        <item x="11"/>
        <item x="9"/>
        <item x="5"/>
        <item x="4"/>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numFmtId="9" showAll="0"/>
    <pivotField showAll="0"/>
    <pivotField showAll="0"/>
    <pivotField showAll="0"/>
    <pivotField showAll="0"/>
    <pivotField showAll="0"/>
    <pivotField dataField="1" numFmtId="164" showAll="0"/>
    <pivotField showAll="0"/>
  </pivotFields>
  <rowFields count="1">
    <field x="4"/>
  </rowFields>
  <rowItems count="15">
    <i>
      <x v="1"/>
    </i>
    <i>
      <x v="9"/>
    </i>
    <i>
      <x v="7"/>
    </i>
    <i>
      <x v="6"/>
    </i>
    <i>
      <x v="13"/>
    </i>
    <i>
      <x v="12"/>
    </i>
    <i>
      <x v="2"/>
    </i>
    <i>
      <x v="4"/>
    </i>
    <i>
      <x v="11"/>
    </i>
    <i>
      <x v="3"/>
    </i>
    <i>
      <x v="5"/>
    </i>
    <i>
      <x/>
    </i>
    <i>
      <x v="10"/>
    </i>
    <i>
      <x v="8"/>
    </i>
    <i t="grand">
      <x/>
    </i>
  </rowItems>
  <colFields count="1">
    <field x="-2"/>
  </colFields>
  <colItems count="2">
    <i>
      <x/>
    </i>
    <i i="1">
      <x v="1"/>
    </i>
  </colItems>
  <dataFields count="2">
    <dataField name="Sum of Sales" fld="6" baseField="0" baseItem="0"/>
    <dataField name="Sum of Map Sales" fld="14" showDataAs="percentOfTotal" baseField="4" baseItem="1" numFmtId="10"/>
  </dataFields>
  <chartFormats count="6">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53591C-8DFE-4977-BF47-E01B6A47CA18}" sourceName="Category">
  <pivotTables>
    <pivotTable tabId="15" name="PivotTable2"/>
  </pivotTables>
  <data>
    <tabular pivotCacheId="1313684799">
      <items count="14">
        <i x="2" s="1"/>
        <i x="0" s="1"/>
        <i x="3" s="1"/>
        <i x="13" s="1"/>
        <i x="10" s="1"/>
        <i x="6" s="1"/>
        <i x="8" s="1"/>
        <i x="1" s="1"/>
        <i x="12" s="1"/>
        <i x="7" s="1"/>
        <i x="11" s="1"/>
        <i x="9"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F011158-6F16-4462-9196-A3B7C860DEFA}" sourceName="Product Name">
  <pivotTables>
    <pivotTable tabId="14" name="PivotTable3"/>
  </pivotTables>
  <data>
    <tabular pivotCacheId="1313684799">
      <items count="23">
        <i x="21" s="1"/>
        <i x="0" s="1"/>
        <i x="12" s="1"/>
        <i x="11" s="1"/>
        <i x="4" s="1"/>
        <i x="7" s="1"/>
        <i x="6" s="1"/>
        <i x="8" s="1"/>
        <i x="5" s="1"/>
        <i x="16" s="1"/>
        <i x="9" s="1"/>
        <i x="2" s="1"/>
        <i x="3" s="1"/>
        <i x="1" s="1"/>
        <i x="22" s="1"/>
        <i x="10" s="1"/>
        <i x="18" s="1"/>
        <i x="19" s="1"/>
        <i x="13" s="1"/>
        <i x="17" s="1"/>
        <i x="14" s="1"/>
        <i x="15"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B3765280-6845-4071-BEF5-36B1349F0C43}" cache="Slicer_Product_Name" caption="Product Name"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B321EB7-4104-49C8-A011-BDB8D1B87EF7}" cache="Slicer_Category" caption="Category"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Sales" displayName="tbl_Sales" ref="A1:P50" totalsRowShown="0" headerRowDxfId="17" dataDxfId="16">
  <sortState xmlns:xlrd2="http://schemas.microsoft.com/office/spreadsheetml/2017/richdata2" ref="A2:P50">
    <sortCondition ref="B2:B50"/>
    <sortCondition ref="D2:D50"/>
    <sortCondition ref="E2:E50"/>
    <sortCondition ref="F2:F50"/>
  </sortState>
  <tableColumns count="16">
    <tableColumn id="1" xr3:uid="{00000000-0010-0000-0000-000001000000}" name="Order ID" dataDxfId="15"/>
    <tableColumn id="2" xr3:uid="{00000000-0010-0000-0000-000002000000}" name="Order Date" dataDxfId="14"/>
    <tableColumn id="3" xr3:uid="{00000000-0010-0000-0000-000003000000}" name="Employee" dataDxfId="13"/>
    <tableColumn id="4" xr3:uid="{00000000-0010-0000-0000-000004000000}" name="Customer Name" dataDxfId="12"/>
    <tableColumn id="5" xr3:uid="{00000000-0010-0000-0000-000005000000}" name="Category" dataDxfId="11"/>
    <tableColumn id="6" xr3:uid="{00000000-0010-0000-0000-000006000000}" name="Product Name" dataDxfId="10"/>
    <tableColumn id="7" xr3:uid="{00000000-0010-0000-0000-000007000000}" name="Sales" dataDxfId="9"/>
    <tableColumn id="8" xr3:uid="{00000000-0010-0000-0000-000008000000}" name="Payment Type" dataDxfId="8"/>
    <tableColumn id="9" xr3:uid="{00000000-0010-0000-0000-000009000000}" name="CSAT" dataDxfId="7"/>
    <tableColumn id="10" xr3:uid="{00000000-0010-0000-0000-00000A000000}" name="Last Name" dataDxfId="6"/>
    <tableColumn id="11" xr3:uid="{00000000-0010-0000-0000-00000B000000}" name="First Name" dataDxfId="5"/>
    <tableColumn id="12" xr3:uid="{00000000-0010-0000-0000-00000C000000}" name="Address" dataDxfId="4"/>
    <tableColumn id="13" xr3:uid="{00000000-0010-0000-0000-00000D000000}" name="City" dataDxfId="3"/>
    <tableColumn id="14" xr3:uid="{00000000-0010-0000-0000-00000E000000}" name="State/Province" dataDxfId="2"/>
    <tableColumn id="18" xr3:uid="{00000000-0010-0000-0000-000012000000}" name="Map Sales" dataDxfId="1"/>
    <tableColumn id="15" xr3:uid="{00000000-0010-0000-0000-00000F000000}" name="Quarter" dataDxfId="0"/>
  </tableColumns>
  <tableStyleInfo name="Excel UI"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DB886527-74D1-425C-BED5-B1341B150B5B}" sourceName="Order Date">
  <pivotTables>
    <pivotTable tabId="14" name="PivotTable3"/>
  </pivotTables>
  <state minimalRefreshVersion="6" lastRefreshVersion="6" pivotCacheId="1313684799" filterType="dateBetween">
    <selection startDate="2015-01-01T00:00:00" endDate="2015-12-31T00:00:00"/>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0199FC9-7185-4670-B327-7FFD4CB0C18D}" cache="NativeTimeline_Order_Date1" caption="Order Date" level="2" selectionLevel="0" scrollPosition="2015-05-2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20"/>
  <sheetViews>
    <sheetView zoomScale="85" zoomScaleNormal="85" workbookViewId="0">
      <selection activeCell="M20" sqref="M20"/>
    </sheetView>
  </sheetViews>
  <sheetFormatPr defaultRowHeight="16.5" x14ac:dyDescent="0.3"/>
  <cols>
    <col min="2" max="2" width="16.25" bestFit="1" customWidth="1"/>
    <col min="3" max="3" width="12.375" bestFit="1" customWidth="1"/>
    <col min="4" max="4" width="3.375" customWidth="1"/>
    <col min="14" max="14" width="5.625" customWidth="1"/>
  </cols>
  <sheetData>
    <row r="2" spans="2:3" x14ac:dyDescent="0.3">
      <c r="B2" s="8" t="s">
        <v>140</v>
      </c>
      <c r="C2" t="s">
        <v>142</v>
      </c>
    </row>
    <row r="3" spans="2:3" x14ac:dyDescent="0.3">
      <c r="B3" s="9" t="s">
        <v>121</v>
      </c>
      <c r="C3" s="10">
        <v>0.48321670410653395</v>
      </c>
    </row>
    <row r="4" spans="2:3" x14ac:dyDescent="0.3">
      <c r="B4" s="11" t="s">
        <v>68</v>
      </c>
      <c r="C4" s="10">
        <v>0.45348029154613184</v>
      </c>
    </row>
    <row r="5" spans="2:3" x14ac:dyDescent="0.3">
      <c r="B5" s="11" t="s">
        <v>34</v>
      </c>
      <c r="C5" s="10">
        <v>2.973641256040209E-2</v>
      </c>
    </row>
    <row r="6" spans="2:3" x14ac:dyDescent="0.3">
      <c r="B6" s="9" t="s">
        <v>116</v>
      </c>
      <c r="C6" s="10">
        <v>0.22037267482263201</v>
      </c>
    </row>
    <row r="7" spans="2:3" x14ac:dyDescent="0.3">
      <c r="B7" s="11" t="s">
        <v>16</v>
      </c>
      <c r="C7" s="10">
        <v>4.5251062591916219E-2</v>
      </c>
    </row>
    <row r="8" spans="2:3" x14ac:dyDescent="0.3">
      <c r="B8" s="11" t="s">
        <v>46</v>
      </c>
      <c r="C8" s="10">
        <v>3.9368424454967112E-2</v>
      </c>
    </row>
    <row r="9" spans="2:3" x14ac:dyDescent="0.3">
      <c r="B9" s="11" t="s">
        <v>61</v>
      </c>
      <c r="C9" s="10">
        <v>0.13575318777574866</v>
      </c>
    </row>
    <row r="10" spans="2:3" x14ac:dyDescent="0.3">
      <c r="B10" s="9" t="s">
        <v>137</v>
      </c>
      <c r="C10" s="10">
        <v>0.1047238877127204</v>
      </c>
    </row>
    <row r="11" spans="2:3" x14ac:dyDescent="0.3">
      <c r="B11" s="11" t="s">
        <v>26</v>
      </c>
      <c r="C11" s="10">
        <v>0.1047238877127204</v>
      </c>
    </row>
    <row r="12" spans="2:3" x14ac:dyDescent="0.3">
      <c r="B12" s="9" t="s">
        <v>131</v>
      </c>
      <c r="C12" s="10">
        <v>0.10123309145562971</v>
      </c>
    </row>
    <row r="13" spans="2:3" x14ac:dyDescent="0.3">
      <c r="B13" s="11" t="s">
        <v>39</v>
      </c>
      <c r="C13" s="10">
        <v>4.4992485091390984E-2</v>
      </c>
    </row>
    <row r="14" spans="2:3" x14ac:dyDescent="0.3">
      <c r="B14" s="11" t="s">
        <v>85</v>
      </c>
      <c r="C14" s="10">
        <v>5.6240606364238735E-2</v>
      </c>
    </row>
    <row r="15" spans="2:3" x14ac:dyDescent="0.3">
      <c r="B15" s="9" t="s">
        <v>124</v>
      </c>
      <c r="C15" s="10">
        <v>9.0453641902483964E-2</v>
      </c>
    </row>
    <row r="16" spans="2:3" x14ac:dyDescent="0.3">
      <c r="B16" s="11" t="s">
        <v>68</v>
      </c>
      <c r="C16" s="10">
        <v>1.5595455500428269E-2</v>
      </c>
    </row>
    <row r="17" spans="2:3" x14ac:dyDescent="0.3">
      <c r="B17" s="11" t="s">
        <v>52</v>
      </c>
      <c r="C17" s="10">
        <v>6.2381822001713078E-2</v>
      </c>
    </row>
    <row r="18" spans="2:3" x14ac:dyDescent="0.3">
      <c r="B18" s="11" t="s">
        <v>85</v>
      </c>
      <c r="C18" s="10">
        <v>3.1190911000856538E-3</v>
      </c>
    </row>
    <row r="19" spans="2:3" x14ac:dyDescent="0.3">
      <c r="B19" s="11" t="s">
        <v>96</v>
      </c>
      <c r="C19" s="10">
        <v>9.3572733002569609E-3</v>
      </c>
    </row>
    <row r="20" spans="2:3" x14ac:dyDescent="0.3">
      <c r="B20" s="9" t="s">
        <v>141</v>
      </c>
      <c r="C20" s="10">
        <v>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2B81-BE46-4762-AB50-9BC1F4FEAA0A}">
  <dimension ref="B5:D20"/>
  <sheetViews>
    <sheetView showGridLines="0" topLeftCell="A5" zoomScale="90" zoomScaleNormal="90" workbookViewId="0">
      <selection activeCell="B5" sqref="B5:P20"/>
    </sheetView>
  </sheetViews>
  <sheetFormatPr defaultRowHeight="16.5" x14ac:dyDescent="0.3"/>
  <cols>
    <col min="2" max="2" width="22" bestFit="1" customWidth="1"/>
    <col min="3" max="3" width="12.375" bestFit="1" customWidth="1"/>
    <col min="4" max="4" width="17.125" bestFit="1" customWidth="1"/>
    <col min="5" max="5" width="3.375" customWidth="1"/>
  </cols>
  <sheetData>
    <row r="5" spans="2:4" x14ac:dyDescent="0.3">
      <c r="B5" s="8" t="s">
        <v>140</v>
      </c>
      <c r="C5" t="s">
        <v>142</v>
      </c>
      <c r="D5" t="s">
        <v>143</v>
      </c>
    </row>
    <row r="6" spans="2:4" x14ac:dyDescent="0.3">
      <c r="B6" s="9" t="s">
        <v>17</v>
      </c>
      <c r="C6" s="12">
        <v>22636</v>
      </c>
      <c r="D6" s="10">
        <v>0.43478302625197479</v>
      </c>
    </row>
    <row r="7" spans="2:4" x14ac:dyDescent="0.3">
      <c r="B7" s="9" t="s">
        <v>81</v>
      </c>
      <c r="C7" s="12">
        <v>5740</v>
      </c>
      <c r="D7" s="10">
        <v>0.1102515714210256</v>
      </c>
    </row>
    <row r="8" spans="2:4" x14ac:dyDescent="0.3">
      <c r="B8" s="9" t="s">
        <v>24</v>
      </c>
      <c r="C8" s="12">
        <v>3712.5</v>
      </c>
      <c r="D8" s="10">
        <v>7.1308180993128481E-2</v>
      </c>
    </row>
    <row r="9" spans="2:4" x14ac:dyDescent="0.3">
      <c r="B9" s="9" t="s">
        <v>92</v>
      </c>
      <c r="C9" s="12">
        <v>3132</v>
      </c>
      <c r="D9" s="10">
        <v>6.0158174510566577E-2</v>
      </c>
    </row>
    <row r="10" spans="2:4" x14ac:dyDescent="0.3">
      <c r="B10" s="9" t="s">
        <v>53</v>
      </c>
      <c r="C10" s="12">
        <v>2798.5</v>
      </c>
      <c r="D10" s="10">
        <v>5.3752442965459953E-2</v>
      </c>
    </row>
    <row r="11" spans="2:4" x14ac:dyDescent="0.3">
      <c r="B11" s="9" t="s">
        <v>62</v>
      </c>
      <c r="C11" s="12">
        <v>2600</v>
      </c>
      <c r="D11" s="10">
        <v>4.9939736183739813E-2</v>
      </c>
    </row>
    <row r="12" spans="2:4" x14ac:dyDescent="0.3">
      <c r="B12" s="9" t="s">
        <v>47</v>
      </c>
      <c r="C12" s="12">
        <v>2550</v>
      </c>
      <c r="D12" s="10">
        <v>4.8979356641744819E-2</v>
      </c>
    </row>
    <row r="13" spans="2:4" x14ac:dyDescent="0.3">
      <c r="B13" s="9" t="s">
        <v>83</v>
      </c>
      <c r="C13" s="12">
        <v>2208</v>
      </c>
      <c r="D13" s="10">
        <v>4.241036057449904E-2</v>
      </c>
    </row>
    <row r="14" spans="2:4" x14ac:dyDescent="0.3">
      <c r="B14" s="9" t="s">
        <v>86</v>
      </c>
      <c r="C14" s="12">
        <v>1950</v>
      </c>
      <c r="D14" s="10">
        <v>3.745480213780486E-2</v>
      </c>
    </row>
    <row r="15" spans="2:4" x14ac:dyDescent="0.3">
      <c r="B15" s="9" t="s">
        <v>104</v>
      </c>
      <c r="C15" s="12">
        <v>1560</v>
      </c>
      <c r="D15" s="10">
        <v>2.9963841710243889E-2</v>
      </c>
    </row>
    <row r="16" spans="2:4" x14ac:dyDescent="0.3">
      <c r="B16" s="9" t="s">
        <v>82</v>
      </c>
      <c r="C16" s="12">
        <v>1380</v>
      </c>
      <c r="D16" s="10">
        <v>2.65064753590619E-2</v>
      </c>
    </row>
    <row r="17" spans="2:4" x14ac:dyDescent="0.3">
      <c r="B17" s="9" t="s">
        <v>40</v>
      </c>
      <c r="C17" s="12">
        <v>982</v>
      </c>
      <c r="D17" s="10">
        <v>1.8861854204781731E-2</v>
      </c>
    </row>
    <row r="18" spans="2:4" x14ac:dyDescent="0.3">
      <c r="B18" s="9" t="s">
        <v>97</v>
      </c>
      <c r="C18" s="12">
        <v>533.75</v>
      </c>
      <c r="D18" s="10">
        <v>1.0252051610796587E-2</v>
      </c>
    </row>
    <row r="19" spans="2:4" x14ac:dyDescent="0.3">
      <c r="B19" s="9" t="s">
        <v>115</v>
      </c>
      <c r="C19" s="12">
        <v>280</v>
      </c>
      <c r="D19" s="10">
        <v>5.3781254351719801E-3</v>
      </c>
    </row>
    <row r="20" spans="2:4" x14ac:dyDescent="0.3">
      <c r="B20" s="9" t="s">
        <v>141</v>
      </c>
      <c r="C20" s="12">
        <v>52062.75</v>
      </c>
      <c r="D20"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5A018-0184-4D7C-8CF0-4DE192D4450F}">
  <dimension ref="A1"/>
  <sheetViews>
    <sheetView tabSelected="1" zoomScaleNormal="100" workbookViewId="0">
      <selection activeCell="I19" sqref="I19"/>
    </sheetView>
  </sheetViews>
  <sheetFormatPr defaultRowHeight="16.5"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R50"/>
  <sheetViews>
    <sheetView showGridLines="0" zoomScale="70" zoomScaleNormal="70" workbookViewId="0">
      <pane ySplit="1" topLeftCell="A2" activePane="bottomLeft" state="frozen"/>
      <selection pane="bottomLeft" activeCell="D10" sqref="D10"/>
    </sheetView>
  </sheetViews>
  <sheetFormatPr defaultRowHeight="16.5" x14ac:dyDescent="0.3"/>
  <cols>
    <col min="1" max="1" width="9" customWidth="1"/>
    <col min="2" max="2" width="13.125" bestFit="1" customWidth="1"/>
    <col min="3" max="4" width="17.625" bestFit="1" customWidth="1"/>
    <col min="5" max="5" width="22.875" bestFit="1" customWidth="1"/>
    <col min="6" max="6" width="22" bestFit="1" customWidth="1"/>
    <col min="7" max="7" width="18.125" bestFit="1" customWidth="1"/>
    <col min="8" max="8" width="9.75" bestFit="1" customWidth="1"/>
    <col min="9" max="9" width="7.75" bestFit="1" customWidth="1"/>
    <col min="10" max="11" width="12.5" bestFit="1" customWidth="1"/>
    <col min="12" max="13" width="12.75" bestFit="1" customWidth="1"/>
    <col min="14" max="14" width="11" bestFit="1" customWidth="1"/>
    <col min="15" max="15" width="9.5" bestFit="1" customWidth="1"/>
    <col min="16" max="16" width="10" bestFit="1" customWidth="1"/>
    <col min="17" max="17" width="13.125" bestFit="1" customWidth="1"/>
    <col min="18" max="18" width="13.125" customWidth="1"/>
    <col min="19" max="19" width="10" customWidth="1"/>
  </cols>
  <sheetData>
    <row r="1" spans="1:18" x14ac:dyDescent="0.3">
      <c r="A1" s="2" t="s">
        <v>0</v>
      </c>
      <c r="B1" s="2" t="s">
        <v>1</v>
      </c>
      <c r="C1" s="2" t="s">
        <v>2</v>
      </c>
      <c r="D1" s="2" t="s">
        <v>3</v>
      </c>
      <c r="E1" s="2" t="s">
        <v>4</v>
      </c>
      <c r="F1" s="2" t="s">
        <v>5</v>
      </c>
      <c r="G1" s="3" t="s">
        <v>6</v>
      </c>
      <c r="H1" s="2" t="s">
        <v>7</v>
      </c>
      <c r="I1" s="4" t="s">
        <v>8</v>
      </c>
      <c r="J1" s="2" t="s">
        <v>9</v>
      </c>
      <c r="K1" s="2" t="s">
        <v>10</v>
      </c>
      <c r="L1" s="2" t="s">
        <v>11</v>
      </c>
      <c r="M1" s="2" t="s">
        <v>12</v>
      </c>
      <c r="N1" s="2" t="s">
        <v>13</v>
      </c>
      <c r="O1" s="3" t="s">
        <v>139</v>
      </c>
      <c r="P1" s="2" t="s">
        <v>14</v>
      </c>
      <c r="R1" s="1"/>
    </row>
    <row r="2" spans="1:18" x14ac:dyDescent="0.3">
      <c r="A2" s="2">
        <v>30</v>
      </c>
      <c r="B2" s="5">
        <v>42019</v>
      </c>
      <c r="C2" s="2" t="s">
        <v>15</v>
      </c>
      <c r="D2" s="2" t="s">
        <v>16</v>
      </c>
      <c r="E2" s="2" t="s">
        <v>17</v>
      </c>
      <c r="F2" s="2" t="s">
        <v>116</v>
      </c>
      <c r="G2" s="6">
        <v>1400</v>
      </c>
      <c r="H2" s="2" t="s">
        <v>18</v>
      </c>
      <c r="I2" s="7">
        <v>0.81</v>
      </c>
      <c r="J2" s="2" t="s">
        <v>19</v>
      </c>
      <c r="K2" s="2" t="s">
        <v>20</v>
      </c>
      <c r="L2" s="2" t="s">
        <v>21</v>
      </c>
      <c r="M2" s="2" t="s">
        <v>22</v>
      </c>
      <c r="N2" s="2" t="s">
        <v>23</v>
      </c>
      <c r="O2" s="6">
        <v>1400</v>
      </c>
      <c r="P2" s="2">
        <v>1</v>
      </c>
    </row>
    <row r="3" spans="1:18" x14ac:dyDescent="0.3">
      <c r="A3" s="2">
        <v>30</v>
      </c>
      <c r="B3" s="5">
        <v>42019</v>
      </c>
      <c r="C3" s="2" t="s">
        <v>15</v>
      </c>
      <c r="D3" s="2" t="s">
        <v>16</v>
      </c>
      <c r="E3" s="2" t="s">
        <v>24</v>
      </c>
      <c r="F3" s="2" t="s">
        <v>117</v>
      </c>
      <c r="G3" s="6">
        <v>105</v>
      </c>
      <c r="H3" s="2" t="s">
        <v>18</v>
      </c>
      <c r="I3" s="7">
        <v>0.65</v>
      </c>
      <c r="J3" s="2" t="s">
        <v>19</v>
      </c>
      <c r="K3" s="2" t="s">
        <v>20</v>
      </c>
      <c r="L3" s="2" t="s">
        <v>21</v>
      </c>
      <c r="M3" s="2" t="s">
        <v>22</v>
      </c>
      <c r="N3" s="2" t="s">
        <v>23</v>
      </c>
      <c r="O3" s="6">
        <v>105</v>
      </c>
      <c r="P3" s="2">
        <v>1</v>
      </c>
    </row>
    <row r="4" spans="1:18" x14ac:dyDescent="0.3">
      <c r="A4" s="2">
        <v>31</v>
      </c>
      <c r="B4" s="5">
        <v>42024</v>
      </c>
      <c r="C4" s="2" t="s">
        <v>25</v>
      </c>
      <c r="D4" s="2" t="s">
        <v>26</v>
      </c>
      <c r="E4" s="2" t="s">
        <v>24</v>
      </c>
      <c r="F4" s="2" t="s">
        <v>119</v>
      </c>
      <c r="G4" s="6">
        <v>530</v>
      </c>
      <c r="H4" s="2" t="s">
        <v>27</v>
      </c>
      <c r="I4" s="7">
        <v>0.97</v>
      </c>
      <c r="J4" s="2" t="s">
        <v>28</v>
      </c>
      <c r="K4" s="2" t="s">
        <v>29</v>
      </c>
      <c r="L4" s="2" t="s">
        <v>30</v>
      </c>
      <c r="M4" s="2" t="s">
        <v>31</v>
      </c>
      <c r="N4" s="2" t="s">
        <v>32</v>
      </c>
      <c r="O4" s="6">
        <v>530</v>
      </c>
      <c r="P4" s="2">
        <v>1</v>
      </c>
    </row>
    <row r="5" spans="1:18" x14ac:dyDescent="0.3">
      <c r="A5" s="2">
        <v>31</v>
      </c>
      <c r="B5" s="5">
        <v>42024</v>
      </c>
      <c r="C5" s="2" t="s">
        <v>25</v>
      </c>
      <c r="D5" s="2" t="s">
        <v>26</v>
      </c>
      <c r="E5" s="2" t="s">
        <v>24</v>
      </c>
      <c r="F5" s="2" t="s">
        <v>118</v>
      </c>
      <c r="G5" s="6">
        <v>300</v>
      </c>
      <c r="H5" s="2" t="s">
        <v>27</v>
      </c>
      <c r="I5" s="7">
        <v>0.86</v>
      </c>
      <c r="J5" s="2" t="s">
        <v>28</v>
      </c>
      <c r="K5" s="2" t="s">
        <v>29</v>
      </c>
      <c r="L5" s="2" t="s">
        <v>30</v>
      </c>
      <c r="M5" s="2" t="s">
        <v>31</v>
      </c>
      <c r="N5" s="2" t="s">
        <v>32</v>
      </c>
      <c r="O5" s="6">
        <v>300</v>
      </c>
      <c r="P5" s="2">
        <v>1</v>
      </c>
    </row>
    <row r="6" spans="1:18" x14ac:dyDescent="0.3">
      <c r="A6" s="2">
        <v>31</v>
      </c>
      <c r="B6" s="5">
        <v>42024</v>
      </c>
      <c r="C6" s="2" t="s">
        <v>25</v>
      </c>
      <c r="D6" s="2" t="s">
        <v>26</v>
      </c>
      <c r="E6" s="2" t="s">
        <v>24</v>
      </c>
      <c r="F6" s="2" t="s">
        <v>117</v>
      </c>
      <c r="G6" s="6">
        <v>35</v>
      </c>
      <c r="H6" s="2" t="s">
        <v>27</v>
      </c>
      <c r="I6" s="7">
        <v>0.66</v>
      </c>
      <c r="J6" s="2" t="s">
        <v>28</v>
      </c>
      <c r="K6" s="2" t="s">
        <v>29</v>
      </c>
      <c r="L6" s="2" t="s">
        <v>30</v>
      </c>
      <c r="M6" s="2" t="s">
        <v>31</v>
      </c>
      <c r="N6" s="2" t="s">
        <v>32</v>
      </c>
      <c r="O6" s="6">
        <v>35</v>
      </c>
      <c r="P6" s="2">
        <v>1</v>
      </c>
    </row>
    <row r="7" spans="1:18" x14ac:dyDescent="0.3">
      <c r="A7" s="2">
        <v>32</v>
      </c>
      <c r="B7" s="5">
        <v>42026</v>
      </c>
      <c r="C7" s="2" t="s">
        <v>33</v>
      </c>
      <c r="D7" s="2" t="s">
        <v>34</v>
      </c>
      <c r="E7" s="2" t="s">
        <v>17</v>
      </c>
      <c r="F7" s="2" t="s">
        <v>120</v>
      </c>
      <c r="G7" s="6">
        <v>270</v>
      </c>
      <c r="H7" s="2" t="s">
        <v>27</v>
      </c>
      <c r="I7" s="7">
        <v>0.67</v>
      </c>
      <c r="J7" s="2" t="s">
        <v>35</v>
      </c>
      <c r="K7" s="2" t="s">
        <v>36</v>
      </c>
      <c r="L7" s="2" t="s">
        <v>37</v>
      </c>
      <c r="M7" s="2" t="s">
        <v>22</v>
      </c>
      <c r="N7" s="2" t="s">
        <v>23</v>
      </c>
      <c r="O7" s="6">
        <v>270</v>
      </c>
      <c r="P7" s="2">
        <v>1</v>
      </c>
    </row>
    <row r="8" spans="1:18" x14ac:dyDescent="0.3">
      <c r="A8" s="2">
        <v>32</v>
      </c>
      <c r="B8" s="5">
        <v>42026</v>
      </c>
      <c r="C8" s="2" t="s">
        <v>33</v>
      </c>
      <c r="D8" s="2" t="s">
        <v>34</v>
      </c>
      <c r="E8" s="2" t="s">
        <v>17</v>
      </c>
      <c r="F8" s="2" t="s">
        <v>121</v>
      </c>
      <c r="G8" s="6">
        <v>920</v>
      </c>
      <c r="H8" s="2" t="s">
        <v>27</v>
      </c>
      <c r="I8" s="7">
        <v>1</v>
      </c>
      <c r="J8" s="2" t="s">
        <v>35</v>
      </c>
      <c r="K8" s="2" t="s">
        <v>36</v>
      </c>
      <c r="L8" s="2" t="s">
        <v>37</v>
      </c>
      <c r="M8" s="2" t="s">
        <v>22</v>
      </c>
      <c r="N8" s="2" t="s">
        <v>23</v>
      </c>
      <c r="O8" s="6">
        <v>920</v>
      </c>
      <c r="P8" s="2">
        <v>1</v>
      </c>
    </row>
    <row r="9" spans="1:18" x14ac:dyDescent="0.3">
      <c r="A9" s="2">
        <v>33</v>
      </c>
      <c r="B9" s="5">
        <v>42034</v>
      </c>
      <c r="C9" s="2" t="s">
        <v>38</v>
      </c>
      <c r="D9" s="2" t="s">
        <v>39</v>
      </c>
      <c r="E9" s="2" t="s">
        <v>40</v>
      </c>
      <c r="F9" s="2" t="s">
        <v>122</v>
      </c>
      <c r="G9" s="6">
        <v>276</v>
      </c>
      <c r="H9" s="2" t="s">
        <v>27</v>
      </c>
      <c r="I9" s="7">
        <v>1</v>
      </c>
      <c r="J9" s="2" t="s">
        <v>41</v>
      </c>
      <c r="K9" s="2" t="s">
        <v>42</v>
      </c>
      <c r="L9" s="2" t="s">
        <v>43</v>
      </c>
      <c r="M9" s="2" t="s">
        <v>44</v>
      </c>
      <c r="N9" s="2" t="s">
        <v>45</v>
      </c>
      <c r="O9" s="6">
        <v>276</v>
      </c>
      <c r="P9" s="2">
        <v>1</v>
      </c>
    </row>
    <row r="10" spans="1:18" x14ac:dyDescent="0.3">
      <c r="A10" s="2">
        <v>34</v>
      </c>
      <c r="B10" s="5">
        <v>42041</v>
      </c>
      <c r="C10" s="2" t="s">
        <v>15</v>
      </c>
      <c r="D10" s="2" t="s">
        <v>26</v>
      </c>
      <c r="E10" s="2" t="s">
        <v>40</v>
      </c>
      <c r="F10" s="2" t="s">
        <v>122</v>
      </c>
      <c r="G10" s="6">
        <v>184</v>
      </c>
      <c r="H10" s="2" t="s">
        <v>18</v>
      </c>
      <c r="I10" s="7">
        <v>0.74</v>
      </c>
      <c r="J10" s="2" t="s">
        <v>28</v>
      </c>
      <c r="K10" s="2" t="s">
        <v>29</v>
      </c>
      <c r="L10" s="2" t="s">
        <v>30</v>
      </c>
      <c r="M10" s="2" t="s">
        <v>31</v>
      </c>
      <c r="N10" s="2" t="s">
        <v>32</v>
      </c>
      <c r="O10" s="6">
        <v>184</v>
      </c>
      <c r="P10" s="2">
        <v>1</v>
      </c>
    </row>
    <row r="11" spans="1:18" x14ac:dyDescent="0.3">
      <c r="A11" s="2">
        <v>35</v>
      </c>
      <c r="B11" s="5">
        <v>42045</v>
      </c>
      <c r="C11" s="2" t="s">
        <v>25</v>
      </c>
      <c r="D11" s="2" t="s">
        <v>46</v>
      </c>
      <c r="E11" s="2" t="s">
        <v>47</v>
      </c>
      <c r="F11" s="2" t="s">
        <v>123</v>
      </c>
      <c r="G11" s="6">
        <v>127.5</v>
      </c>
      <c r="H11" s="2" t="s">
        <v>18</v>
      </c>
      <c r="I11" s="7">
        <v>0.65</v>
      </c>
      <c r="J11" s="2" t="s">
        <v>28</v>
      </c>
      <c r="K11" s="2" t="s">
        <v>48</v>
      </c>
      <c r="L11" s="2" t="s">
        <v>49</v>
      </c>
      <c r="M11" s="2" t="s">
        <v>50</v>
      </c>
      <c r="N11" s="2" t="s">
        <v>51</v>
      </c>
      <c r="O11" s="6">
        <v>127.5</v>
      </c>
      <c r="P11" s="2">
        <v>1</v>
      </c>
    </row>
    <row r="12" spans="1:18" x14ac:dyDescent="0.3">
      <c r="A12" s="2">
        <v>36</v>
      </c>
      <c r="B12" s="5">
        <v>42058</v>
      </c>
      <c r="C12" s="2" t="s">
        <v>33</v>
      </c>
      <c r="D12" s="2" t="s">
        <v>52</v>
      </c>
      <c r="E12" s="2" t="s">
        <v>53</v>
      </c>
      <c r="F12" s="2" t="s">
        <v>124</v>
      </c>
      <c r="G12" s="6">
        <v>1930</v>
      </c>
      <c r="H12" s="2" t="s">
        <v>54</v>
      </c>
      <c r="I12" s="7">
        <v>0.8</v>
      </c>
      <c r="J12" s="2" t="s">
        <v>55</v>
      </c>
      <c r="K12" s="2" t="s">
        <v>56</v>
      </c>
      <c r="L12" s="2" t="s">
        <v>57</v>
      </c>
      <c r="M12" s="2" t="s">
        <v>58</v>
      </c>
      <c r="N12" s="2" t="s">
        <v>59</v>
      </c>
      <c r="O12" s="6">
        <v>1930</v>
      </c>
      <c r="P12" s="2">
        <v>1</v>
      </c>
    </row>
    <row r="13" spans="1:18" x14ac:dyDescent="0.3">
      <c r="A13" s="2">
        <v>37</v>
      </c>
      <c r="B13" s="5">
        <v>42069</v>
      </c>
      <c r="C13" s="2" t="s">
        <v>60</v>
      </c>
      <c r="D13" s="2" t="s">
        <v>61</v>
      </c>
      <c r="E13" s="2" t="s">
        <v>62</v>
      </c>
      <c r="F13" s="2" t="s">
        <v>125</v>
      </c>
      <c r="G13" s="6">
        <v>680</v>
      </c>
      <c r="H13" s="2" t="s">
        <v>27</v>
      </c>
      <c r="I13" s="7">
        <v>0.63</v>
      </c>
      <c r="J13" s="2" t="s">
        <v>63</v>
      </c>
      <c r="K13" s="2" t="s">
        <v>64</v>
      </c>
      <c r="L13" s="2" t="s">
        <v>65</v>
      </c>
      <c r="M13" s="2" t="s">
        <v>66</v>
      </c>
      <c r="N13" s="2" t="s">
        <v>67</v>
      </c>
      <c r="O13" s="6">
        <v>680</v>
      </c>
      <c r="P13" s="2">
        <v>1</v>
      </c>
    </row>
    <row r="14" spans="1:18" x14ac:dyDescent="0.3">
      <c r="A14" s="2">
        <v>38</v>
      </c>
      <c r="B14" s="5">
        <v>42073</v>
      </c>
      <c r="C14" s="2" t="s">
        <v>15</v>
      </c>
      <c r="D14" s="2" t="s">
        <v>68</v>
      </c>
      <c r="E14" s="2" t="s">
        <v>17</v>
      </c>
      <c r="F14" s="2" t="s">
        <v>121</v>
      </c>
      <c r="G14" s="6">
        <v>13800</v>
      </c>
      <c r="H14" s="2" t="s">
        <v>18</v>
      </c>
      <c r="I14" s="7">
        <v>0.69</v>
      </c>
      <c r="J14" s="2" t="s">
        <v>69</v>
      </c>
      <c r="K14" s="2" t="s">
        <v>70</v>
      </c>
      <c r="L14" s="2" t="s">
        <v>71</v>
      </c>
      <c r="M14" s="2" t="s">
        <v>72</v>
      </c>
      <c r="N14" s="2" t="s">
        <v>73</v>
      </c>
      <c r="O14" s="6">
        <v>13800</v>
      </c>
      <c r="P14" s="2">
        <v>1</v>
      </c>
    </row>
    <row r="15" spans="1:18" x14ac:dyDescent="0.3">
      <c r="A15" s="2">
        <v>39</v>
      </c>
      <c r="B15" s="5">
        <v>42085</v>
      </c>
      <c r="C15" s="2" t="s">
        <v>25</v>
      </c>
      <c r="D15" s="2" t="s">
        <v>39</v>
      </c>
      <c r="E15" s="2" t="s">
        <v>47</v>
      </c>
      <c r="F15" s="2" t="s">
        <v>123</v>
      </c>
      <c r="G15" s="6">
        <v>1275</v>
      </c>
      <c r="H15" s="2" t="s">
        <v>18</v>
      </c>
      <c r="I15" s="7">
        <v>0.76</v>
      </c>
      <c r="J15" s="2" t="s">
        <v>41</v>
      </c>
      <c r="K15" s="2" t="s">
        <v>42</v>
      </c>
      <c r="L15" s="2" t="s">
        <v>43</v>
      </c>
      <c r="M15" s="2" t="s">
        <v>44</v>
      </c>
      <c r="N15" s="2" t="s">
        <v>45</v>
      </c>
      <c r="O15" s="6">
        <v>1275</v>
      </c>
      <c r="P15" s="2">
        <v>1</v>
      </c>
    </row>
    <row r="16" spans="1:18" x14ac:dyDescent="0.3">
      <c r="A16" s="2">
        <v>42</v>
      </c>
      <c r="B16" s="5">
        <v>42087</v>
      </c>
      <c r="C16" s="2" t="s">
        <v>80</v>
      </c>
      <c r="D16" s="2" t="s">
        <v>74</v>
      </c>
      <c r="E16" s="2" t="s">
        <v>40</v>
      </c>
      <c r="F16" s="2" t="s">
        <v>122</v>
      </c>
      <c r="G16" s="6">
        <v>92</v>
      </c>
      <c r="H16" s="2"/>
      <c r="I16" s="7">
        <v>0.66</v>
      </c>
      <c r="J16" s="2" t="s">
        <v>75</v>
      </c>
      <c r="K16" s="2" t="s">
        <v>76</v>
      </c>
      <c r="L16" s="2" t="s">
        <v>77</v>
      </c>
      <c r="M16" s="2" t="s">
        <v>78</v>
      </c>
      <c r="N16" s="2" t="s">
        <v>79</v>
      </c>
      <c r="O16" s="6">
        <v>92</v>
      </c>
      <c r="P16" s="2">
        <v>1</v>
      </c>
    </row>
    <row r="17" spans="1:16" x14ac:dyDescent="0.3">
      <c r="A17" s="2">
        <v>40</v>
      </c>
      <c r="B17" s="5">
        <v>42087</v>
      </c>
      <c r="C17" s="2" t="s">
        <v>33</v>
      </c>
      <c r="D17" s="2" t="s">
        <v>74</v>
      </c>
      <c r="E17" s="2" t="s">
        <v>17</v>
      </c>
      <c r="F17" s="2" t="s">
        <v>126</v>
      </c>
      <c r="G17" s="6">
        <v>598</v>
      </c>
      <c r="H17" s="2" t="s">
        <v>27</v>
      </c>
      <c r="I17" s="7">
        <v>0.92</v>
      </c>
      <c r="J17" s="2" t="s">
        <v>75</v>
      </c>
      <c r="K17" s="2" t="s">
        <v>76</v>
      </c>
      <c r="L17" s="2" t="s">
        <v>77</v>
      </c>
      <c r="M17" s="2" t="s">
        <v>78</v>
      </c>
      <c r="N17" s="2" t="s">
        <v>79</v>
      </c>
      <c r="O17" s="6">
        <v>598</v>
      </c>
      <c r="P17" s="2">
        <v>1</v>
      </c>
    </row>
    <row r="18" spans="1:16" x14ac:dyDescent="0.3">
      <c r="A18" s="2">
        <v>42</v>
      </c>
      <c r="B18" s="5">
        <v>42087</v>
      </c>
      <c r="C18" s="2" t="s">
        <v>80</v>
      </c>
      <c r="D18" s="2" t="s">
        <v>74</v>
      </c>
      <c r="E18" s="2" t="s">
        <v>82</v>
      </c>
      <c r="F18" s="2" t="s">
        <v>128</v>
      </c>
      <c r="G18" s="6">
        <v>220</v>
      </c>
      <c r="H18" s="2"/>
      <c r="I18" s="7">
        <v>0.73</v>
      </c>
      <c r="J18" s="2" t="s">
        <v>75</v>
      </c>
      <c r="K18" s="2" t="s">
        <v>76</v>
      </c>
      <c r="L18" s="2" t="s">
        <v>77</v>
      </c>
      <c r="M18" s="2" t="s">
        <v>78</v>
      </c>
      <c r="N18" s="2" t="s">
        <v>79</v>
      </c>
      <c r="O18" s="6">
        <v>220</v>
      </c>
      <c r="P18" s="2">
        <v>1</v>
      </c>
    </row>
    <row r="19" spans="1:16" x14ac:dyDescent="0.3">
      <c r="A19" s="2">
        <v>42</v>
      </c>
      <c r="B19" s="5">
        <v>42087</v>
      </c>
      <c r="C19" s="2" t="s">
        <v>80</v>
      </c>
      <c r="D19" s="2" t="s">
        <v>74</v>
      </c>
      <c r="E19" s="2" t="s">
        <v>81</v>
      </c>
      <c r="F19" s="2" t="s">
        <v>127</v>
      </c>
      <c r="G19" s="6">
        <v>250</v>
      </c>
      <c r="H19" s="2"/>
      <c r="I19" s="7">
        <v>0.96</v>
      </c>
      <c r="J19" s="2" t="s">
        <v>75</v>
      </c>
      <c r="K19" s="2" t="s">
        <v>76</v>
      </c>
      <c r="L19" s="2" t="s">
        <v>77</v>
      </c>
      <c r="M19" s="2" t="s">
        <v>78</v>
      </c>
      <c r="N19" s="2" t="s">
        <v>79</v>
      </c>
      <c r="O19" s="6">
        <v>250</v>
      </c>
      <c r="P19" s="2">
        <v>1</v>
      </c>
    </row>
    <row r="20" spans="1:16" x14ac:dyDescent="0.3">
      <c r="A20" s="2">
        <v>56</v>
      </c>
      <c r="B20" s="5">
        <v>42097</v>
      </c>
      <c r="C20" s="2" t="s">
        <v>103</v>
      </c>
      <c r="D20" s="2" t="s">
        <v>61</v>
      </c>
      <c r="E20" s="2" t="s">
        <v>47</v>
      </c>
      <c r="F20" s="2" t="s">
        <v>123</v>
      </c>
      <c r="G20" s="6">
        <v>127.5</v>
      </c>
      <c r="H20" s="2" t="s">
        <v>18</v>
      </c>
      <c r="I20" s="7">
        <v>0.82</v>
      </c>
      <c r="J20" s="2" t="s">
        <v>63</v>
      </c>
      <c r="K20" s="2" t="s">
        <v>64</v>
      </c>
      <c r="L20" s="2" t="s">
        <v>65</v>
      </c>
      <c r="M20" s="2" t="s">
        <v>66</v>
      </c>
      <c r="N20" s="2" t="s">
        <v>67</v>
      </c>
      <c r="O20" s="6">
        <v>127.5</v>
      </c>
      <c r="P20" s="2">
        <v>2</v>
      </c>
    </row>
    <row r="21" spans="1:16" x14ac:dyDescent="0.3">
      <c r="A21" s="2">
        <v>55</v>
      </c>
      <c r="B21" s="5">
        <v>42099</v>
      </c>
      <c r="C21" s="2" t="s">
        <v>80</v>
      </c>
      <c r="D21" s="2" t="s">
        <v>46</v>
      </c>
      <c r="E21" s="2" t="s">
        <v>17</v>
      </c>
      <c r="F21" s="2" t="s">
        <v>116</v>
      </c>
      <c r="G21" s="6">
        <v>1218</v>
      </c>
      <c r="H21" s="2" t="s">
        <v>18</v>
      </c>
      <c r="I21" s="7">
        <v>0.67</v>
      </c>
      <c r="J21" s="2" t="s">
        <v>28</v>
      </c>
      <c r="K21" s="2" t="s">
        <v>48</v>
      </c>
      <c r="L21" s="2" t="s">
        <v>49</v>
      </c>
      <c r="M21" s="2" t="s">
        <v>50</v>
      </c>
      <c r="N21" s="2" t="s">
        <v>51</v>
      </c>
      <c r="O21" s="6">
        <v>1218</v>
      </c>
      <c r="P21" s="2">
        <v>2</v>
      </c>
    </row>
    <row r="22" spans="1:16" x14ac:dyDescent="0.3">
      <c r="A22" s="2">
        <v>48</v>
      </c>
      <c r="B22" s="5">
        <v>42099</v>
      </c>
      <c r="C22" s="2" t="s">
        <v>33</v>
      </c>
      <c r="D22" s="2" t="s">
        <v>39</v>
      </c>
      <c r="E22" s="2" t="s">
        <v>40</v>
      </c>
      <c r="F22" s="2" t="s">
        <v>122</v>
      </c>
      <c r="G22" s="6">
        <v>230</v>
      </c>
      <c r="H22" s="2" t="s">
        <v>18</v>
      </c>
      <c r="I22" s="7">
        <v>0.88</v>
      </c>
      <c r="J22" s="2" t="s">
        <v>41</v>
      </c>
      <c r="K22" s="2" t="s">
        <v>42</v>
      </c>
      <c r="L22" s="2" t="s">
        <v>43</v>
      </c>
      <c r="M22" s="2" t="s">
        <v>44</v>
      </c>
      <c r="N22" s="2" t="s">
        <v>45</v>
      </c>
      <c r="O22" s="6">
        <v>230</v>
      </c>
      <c r="P22" s="2">
        <v>2</v>
      </c>
    </row>
    <row r="23" spans="1:16" x14ac:dyDescent="0.3">
      <c r="A23" s="2">
        <v>48</v>
      </c>
      <c r="B23" s="5">
        <v>42099</v>
      </c>
      <c r="C23" s="2" t="s">
        <v>33</v>
      </c>
      <c r="D23" s="2" t="s">
        <v>39</v>
      </c>
      <c r="E23" s="2" t="s">
        <v>62</v>
      </c>
      <c r="F23" s="2" t="s">
        <v>125</v>
      </c>
      <c r="G23" s="6">
        <v>1000</v>
      </c>
      <c r="H23" s="2" t="s">
        <v>18</v>
      </c>
      <c r="I23" s="7">
        <v>0.64</v>
      </c>
      <c r="J23" s="2" t="s">
        <v>41</v>
      </c>
      <c r="K23" s="2" t="s">
        <v>42</v>
      </c>
      <c r="L23" s="2" t="s">
        <v>43</v>
      </c>
      <c r="M23" s="2" t="s">
        <v>44</v>
      </c>
      <c r="N23" s="2" t="s">
        <v>45</v>
      </c>
      <c r="O23" s="6">
        <v>1000</v>
      </c>
      <c r="P23" s="2">
        <v>2</v>
      </c>
    </row>
    <row r="24" spans="1:16" x14ac:dyDescent="0.3">
      <c r="A24" s="2">
        <v>46</v>
      </c>
      <c r="B24" s="5">
        <v>42099</v>
      </c>
      <c r="C24" s="2" t="s">
        <v>84</v>
      </c>
      <c r="D24" s="2" t="s">
        <v>85</v>
      </c>
      <c r="E24" s="2" t="s">
        <v>92</v>
      </c>
      <c r="F24" s="2" t="s">
        <v>131</v>
      </c>
      <c r="G24" s="6">
        <v>1740</v>
      </c>
      <c r="H24" s="2" t="s">
        <v>18</v>
      </c>
      <c r="I24" s="7">
        <v>0.92</v>
      </c>
      <c r="J24" s="2" t="s">
        <v>87</v>
      </c>
      <c r="K24" s="2" t="s">
        <v>88</v>
      </c>
      <c r="L24" s="2" t="s">
        <v>89</v>
      </c>
      <c r="M24" s="2" t="s">
        <v>90</v>
      </c>
      <c r="N24" s="2" t="s">
        <v>91</v>
      </c>
      <c r="O24" s="6">
        <v>1740</v>
      </c>
      <c r="P24" s="2">
        <v>2</v>
      </c>
    </row>
    <row r="25" spans="1:16" x14ac:dyDescent="0.3">
      <c r="A25" s="2">
        <v>46</v>
      </c>
      <c r="B25" s="5">
        <v>42099</v>
      </c>
      <c r="C25" s="2" t="s">
        <v>84</v>
      </c>
      <c r="D25" s="2" t="s">
        <v>85</v>
      </c>
      <c r="E25" s="2" t="s">
        <v>86</v>
      </c>
      <c r="F25" s="2" t="s">
        <v>130</v>
      </c>
      <c r="G25" s="6">
        <v>1950</v>
      </c>
      <c r="H25" s="2" t="s">
        <v>18</v>
      </c>
      <c r="I25" s="7">
        <v>0.64</v>
      </c>
      <c r="J25" s="2" t="s">
        <v>87</v>
      </c>
      <c r="K25" s="2" t="s">
        <v>88</v>
      </c>
      <c r="L25" s="2" t="s">
        <v>89</v>
      </c>
      <c r="M25" s="2" t="s">
        <v>90</v>
      </c>
      <c r="N25" s="2" t="s">
        <v>91</v>
      </c>
      <c r="O25" s="6">
        <v>1950</v>
      </c>
      <c r="P25" s="2">
        <v>2</v>
      </c>
    </row>
    <row r="26" spans="1:16" x14ac:dyDescent="0.3">
      <c r="A26" s="2">
        <v>50</v>
      </c>
      <c r="B26" s="5">
        <v>42099</v>
      </c>
      <c r="C26" s="2" t="s">
        <v>15</v>
      </c>
      <c r="D26" s="2" t="s">
        <v>93</v>
      </c>
      <c r="E26" s="2" t="s">
        <v>40</v>
      </c>
      <c r="F26" s="2" t="s">
        <v>132</v>
      </c>
      <c r="G26" s="6">
        <v>200</v>
      </c>
      <c r="H26" s="2" t="s">
        <v>54</v>
      </c>
      <c r="I26" s="7">
        <v>0.8</v>
      </c>
      <c r="J26" s="2" t="s">
        <v>94</v>
      </c>
      <c r="K26" s="2" t="s">
        <v>36</v>
      </c>
      <c r="L26" s="2" t="s">
        <v>95</v>
      </c>
      <c r="M26" s="2" t="s">
        <v>78</v>
      </c>
      <c r="N26" s="2" t="s">
        <v>79</v>
      </c>
      <c r="O26" s="6">
        <v>200</v>
      </c>
      <c r="P26" s="2">
        <v>2</v>
      </c>
    </row>
    <row r="27" spans="1:16" x14ac:dyDescent="0.3">
      <c r="A27" s="2">
        <v>51</v>
      </c>
      <c r="B27" s="5">
        <v>42099</v>
      </c>
      <c r="C27" s="2" t="s">
        <v>15</v>
      </c>
      <c r="D27" s="2" t="s">
        <v>96</v>
      </c>
      <c r="E27" s="2" t="s">
        <v>83</v>
      </c>
      <c r="F27" s="2" t="s">
        <v>129</v>
      </c>
      <c r="G27" s="6">
        <v>552</v>
      </c>
      <c r="H27" s="2" t="s">
        <v>27</v>
      </c>
      <c r="I27" s="7">
        <v>1</v>
      </c>
      <c r="J27" s="2" t="s">
        <v>98</v>
      </c>
      <c r="K27" s="2" t="s">
        <v>99</v>
      </c>
      <c r="L27" s="2" t="s">
        <v>100</v>
      </c>
      <c r="M27" s="2" t="s">
        <v>101</v>
      </c>
      <c r="N27" s="2" t="s">
        <v>102</v>
      </c>
      <c r="O27" s="6">
        <v>552</v>
      </c>
      <c r="P27" s="2">
        <v>2</v>
      </c>
    </row>
    <row r="28" spans="1:16" x14ac:dyDescent="0.3">
      <c r="A28" s="2">
        <v>51</v>
      </c>
      <c r="B28" s="5">
        <v>42099</v>
      </c>
      <c r="C28" s="2" t="s">
        <v>15</v>
      </c>
      <c r="D28" s="2" t="s">
        <v>96</v>
      </c>
      <c r="E28" s="2" t="s">
        <v>97</v>
      </c>
      <c r="F28" s="2" t="s">
        <v>133</v>
      </c>
      <c r="G28" s="6">
        <v>533.75</v>
      </c>
      <c r="H28" s="2" t="s">
        <v>27</v>
      </c>
      <c r="I28" s="7">
        <v>0.95</v>
      </c>
      <c r="J28" s="2" t="s">
        <v>98</v>
      </c>
      <c r="K28" s="2" t="s">
        <v>99</v>
      </c>
      <c r="L28" s="2" t="s">
        <v>100</v>
      </c>
      <c r="M28" s="2" t="s">
        <v>101</v>
      </c>
      <c r="N28" s="2" t="s">
        <v>102</v>
      </c>
      <c r="O28" s="6">
        <v>533.75</v>
      </c>
      <c r="P28" s="2">
        <v>2</v>
      </c>
    </row>
    <row r="29" spans="1:16" x14ac:dyDescent="0.3">
      <c r="A29" s="2">
        <v>51</v>
      </c>
      <c r="B29" s="5">
        <v>42099</v>
      </c>
      <c r="C29" s="2" t="s">
        <v>15</v>
      </c>
      <c r="D29" s="2" t="s">
        <v>96</v>
      </c>
      <c r="E29" s="2" t="s">
        <v>53</v>
      </c>
      <c r="F29" s="2" t="s">
        <v>124</v>
      </c>
      <c r="G29" s="6">
        <v>289.5</v>
      </c>
      <c r="H29" s="2" t="s">
        <v>27</v>
      </c>
      <c r="I29" s="7">
        <v>0.66</v>
      </c>
      <c r="J29" s="2" t="s">
        <v>98</v>
      </c>
      <c r="K29" s="2" t="s">
        <v>99</v>
      </c>
      <c r="L29" s="2" t="s">
        <v>100</v>
      </c>
      <c r="M29" s="2" t="s">
        <v>101</v>
      </c>
      <c r="N29" s="2" t="s">
        <v>102</v>
      </c>
      <c r="O29" s="6">
        <v>289.5</v>
      </c>
      <c r="P29" s="2">
        <v>2</v>
      </c>
    </row>
    <row r="30" spans="1:16" x14ac:dyDescent="0.3">
      <c r="A30" s="2">
        <v>45</v>
      </c>
      <c r="B30" s="5">
        <v>42101</v>
      </c>
      <c r="C30" s="2" t="s">
        <v>80</v>
      </c>
      <c r="D30" s="2" t="s">
        <v>68</v>
      </c>
      <c r="E30" s="2" t="s">
        <v>83</v>
      </c>
      <c r="F30" s="2" t="s">
        <v>129</v>
      </c>
      <c r="G30" s="6">
        <v>920</v>
      </c>
      <c r="H30" s="2" t="s">
        <v>27</v>
      </c>
      <c r="I30" s="7">
        <v>0.97</v>
      </c>
      <c r="J30" s="2" t="s">
        <v>69</v>
      </c>
      <c r="K30" s="2" t="s">
        <v>70</v>
      </c>
      <c r="L30" s="2" t="s">
        <v>71</v>
      </c>
      <c r="M30" s="2" t="s">
        <v>72</v>
      </c>
      <c r="N30" s="2" t="s">
        <v>73</v>
      </c>
      <c r="O30" s="6">
        <v>920</v>
      </c>
      <c r="P30" s="2">
        <v>2</v>
      </c>
    </row>
    <row r="31" spans="1:16" x14ac:dyDescent="0.3">
      <c r="A31" s="2">
        <v>45</v>
      </c>
      <c r="B31" s="5">
        <v>42101</v>
      </c>
      <c r="C31" s="2" t="s">
        <v>80</v>
      </c>
      <c r="D31" s="2" t="s">
        <v>68</v>
      </c>
      <c r="E31" s="2" t="s">
        <v>53</v>
      </c>
      <c r="F31" s="2" t="s">
        <v>124</v>
      </c>
      <c r="G31" s="6">
        <v>482.5</v>
      </c>
      <c r="H31" s="2" t="s">
        <v>27</v>
      </c>
      <c r="I31" s="7">
        <v>0.97</v>
      </c>
      <c r="J31" s="2" t="s">
        <v>69</v>
      </c>
      <c r="K31" s="2" t="s">
        <v>70</v>
      </c>
      <c r="L31" s="2" t="s">
        <v>71</v>
      </c>
      <c r="M31" s="2" t="s">
        <v>72</v>
      </c>
      <c r="N31" s="2" t="s">
        <v>73</v>
      </c>
      <c r="O31" s="6">
        <v>482.5</v>
      </c>
      <c r="P31" s="2">
        <v>2</v>
      </c>
    </row>
    <row r="32" spans="1:16" x14ac:dyDescent="0.3">
      <c r="A32" s="2">
        <v>47</v>
      </c>
      <c r="B32" s="5">
        <v>42102</v>
      </c>
      <c r="C32" s="2" t="s">
        <v>38</v>
      </c>
      <c r="D32" s="2" t="s">
        <v>61</v>
      </c>
      <c r="E32" s="2" t="s">
        <v>17</v>
      </c>
      <c r="F32" s="2" t="s">
        <v>116</v>
      </c>
      <c r="G32" s="6">
        <v>4200</v>
      </c>
      <c r="H32" s="2" t="s">
        <v>27</v>
      </c>
      <c r="I32" s="7">
        <v>0.81</v>
      </c>
      <c r="J32" s="2" t="s">
        <v>63</v>
      </c>
      <c r="K32" s="2" t="s">
        <v>64</v>
      </c>
      <c r="L32" s="2" t="s">
        <v>65</v>
      </c>
      <c r="M32" s="2" t="s">
        <v>66</v>
      </c>
      <c r="N32" s="2" t="s">
        <v>67</v>
      </c>
      <c r="O32" s="6">
        <v>4200</v>
      </c>
      <c r="P32" s="2">
        <v>2</v>
      </c>
    </row>
    <row r="33" spans="1:16" x14ac:dyDescent="0.3">
      <c r="A33" s="2">
        <v>58</v>
      </c>
      <c r="B33" s="5">
        <v>42116</v>
      </c>
      <c r="C33" s="2" t="s">
        <v>25</v>
      </c>
      <c r="D33" s="2" t="s">
        <v>26</v>
      </c>
      <c r="E33" s="2" t="s">
        <v>115</v>
      </c>
      <c r="F33" s="2" t="s">
        <v>138</v>
      </c>
      <c r="G33" s="6">
        <v>280</v>
      </c>
      <c r="H33" s="2" t="s">
        <v>27</v>
      </c>
      <c r="I33" s="7">
        <v>0.66</v>
      </c>
      <c r="J33" s="2" t="s">
        <v>28</v>
      </c>
      <c r="K33" s="2" t="s">
        <v>29</v>
      </c>
      <c r="L33" s="2" t="s">
        <v>30</v>
      </c>
      <c r="M33" s="2" t="s">
        <v>31</v>
      </c>
      <c r="N33" s="2" t="s">
        <v>32</v>
      </c>
      <c r="O33" s="6">
        <v>280</v>
      </c>
      <c r="P33" s="2">
        <v>2</v>
      </c>
    </row>
    <row r="34" spans="1:16" x14ac:dyDescent="0.3">
      <c r="A34" s="2">
        <v>58</v>
      </c>
      <c r="B34" s="5">
        <v>42116</v>
      </c>
      <c r="C34" s="2" t="s">
        <v>25</v>
      </c>
      <c r="D34" s="2" t="s">
        <v>26</v>
      </c>
      <c r="E34" s="2" t="s">
        <v>81</v>
      </c>
      <c r="F34" s="2" t="s">
        <v>137</v>
      </c>
      <c r="G34" s="6">
        <v>3240</v>
      </c>
      <c r="H34" s="2" t="s">
        <v>27</v>
      </c>
      <c r="I34" s="7">
        <v>0.72</v>
      </c>
      <c r="J34" s="2" t="s">
        <v>28</v>
      </c>
      <c r="K34" s="2" t="s">
        <v>29</v>
      </c>
      <c r="L34" s="2" t="s">
        <v>30</v>
      </c>
      <c r="M34" s="2" t="s">
        <v>31</v>
      </c>
      <c r="N34" s="2" t="s">
        <v>32</v>
      </c>
      <c r="O34" s="6">
        <v>3240</v>
      </c>
      <c r="P34" s="2">
        <v>2</v>
      </c>
    </row>
    <row r="35" spans="1:16" x14ac:dyDescent="0.3">
      <c r="A35" s="2">
        <v>63</v>
      </c>
      <c r="B35" s="5">
        <v>42119</v>
      </c>
      <c r="C35" s="2" t="s">
        <v>33</v>
      </c>
      <c r="D35" s="2" t="s">
        <v>52</v>
      </c>
      <c r="E35" s="2" t="s">
        <v>82</v>
      </c>
      <c r="F35" s="2" t="s">
        <v>136</v>
      </c>
      <c r="G35" s="6">
        <v>500</v>
      </c>
      <c r="H35" s="2" t="s">
        <v>54</v>
      </c>
      <c r="I35" s="7">
        <v>0.64</v>
      </c>
      <c r="J35" s="2" t="s">
        <v>55</v>
      </c>
      <c r="K35" s="2" t="s">
        <v>56</v>
      </c>
      <c r="L35" s="2" t="s">
        <v>57</v>
      </c>
      <c r="M35" s="2" t="s">
        <v>58</v>
      </c>
      <c r="N35" s="2" t="s">
        <v>59</v>
      </c>
      <c r="O35" s="6">
        <v>500</v>
      </c>
      <c r="P35" s="2">
        <v>2</v>
      </c>
    </row>
    <row r="36" spans="1:16" x14ac:dyDescent="0.3">
      <c r="A36" s="2">
        <v>63</v>
      </c>
      <c r="B36" s="5">
        <v>42119</v>
      </c>
      <c r="C36" s="2" t="s">
        <v>33</v>
      </c>
      <c r="D36" s="2" t="s">
        <v>52</v>
      </c>
      <c r="E36" s="2" t="s">
        <v>62</v>
      </c>
      <c r="F36" s="2" t="s">
        <v>125</v>
      </c>
      <c r="G36" s="6">
        <v>120</v>
      </c>
      <c r="H36" s="2" t="s">
        <v>54</v>
      </c>
      <c r="I36" s="7">
        <v>0.66</v>
      </c>
      <c r="J36" s="2" t="s">
        <v>55</v>
      </c>
      <c r="K36" s="2" t="s">
        <v>56</v>
      </c>
      <c r="L36" s="2" t="s">
        <v>57</v>
      </c>
      <c r="M36" s="2" t="s">
        <v>58</v>
      </c>
      <c r="N36" s="2" t="s">
        <v>59</v>
      </c>
      <c r="O36" s="6">
        <v>120</v>
      </c>
      <c r="P36" s="2">
        <v>2</v>
      </c>
    </row>
    <row r="37" spans="1:16" x14ac:dyDescent="0.3">
      <c r="A37" s="2">
        <v>60</v>
      </c>
      <c r="B37" s="5">
        <v>42124</v>
      </c>
      <c r="C37" s="2" t="s">
        <v>38</v>
      </c>
      <c r="D37" s="2" t="s">
        <v>39</v>
      </c>
      <c r="E37" s="2" t="s">
        <v>92</v>
      </c>
      <c r="F37" s="2" t="s">
        <v>131</v>
      </c>
      <c r="G37" s="6">
        <v>1392</v>
      </c>
      <c r="H37" s="2" t="s">
        <v>27</v>
      </c>
      <c r="I37" s="7">
        <v>0.8</v>
      </c>
      <c r="J37" s="2" t="s">
        <v>41</v>
      </c>
      <c r="K37" s="2" t="s">
        <v>42</v>
      </c>
      <c r="L37" s="2" t="s">
        <v>43</v>
      </c>
      <c r="M37" s="2" t="s">
        <v>44</v>
      </c>
      <c r="N37" s="2" t="s">
        <v>45</v>
      </c>
      <c r="O37" s="6">
        <v>1392</v>
      </c>
      <c r="P37" s="2">
        <v>2</v>
      </c>
    </row>
    <row r="38" spans="1:16" x14ac:dyDescent="0.3">
      <c r="A38" s="2">
        <v>71</v>
      </c>
      <c r="B38" s="5">
        <v>42148</v>
      </c>
      <c r="C38" s="2" t="s">
        <v>80</v>
      </c>
      <c r="D38" s="2" t="s">
        <v>105</v>
      </c>
      <c r="E38" s="2" t="s">
        <v>83</v>
      </c>
      <c r="F38" s="2" t="s">
        <v>129</v>
      </c>
      <c r="G38" s="6">
        <v>736</v>
      </c>
      <c r="H38" s="2"/>
      <c r="I38" s="7">
        <v>0.92</v>
      </c>
      <c r="J38" s="2" t="s">
        <v>106</v>
      </c>
      <c r="K38" s="2" t="s">
        <v>107</v>
      </c>
      <c r="L38" s="2" t="s">
        <v>108</v>
      </c>
      <c r="M38" s="2" t="s">
        <v>109</v>
      </c>
      <c r="N38" s="2" t="s">
        <v>110</v>
      </c>
      <c r="O38" s="6">
        <v>736</v>
      </c>
      <c r="P38" s="2">
        <v>2</v>
      </c>
    </row>
    <row r="39" spans="1:16" x14ac:dyDescent="0.3">
      <c r="A39" s="2">
        <v>67</v>
      </c>
      <c r="B39" s="5">
        <v>42148</v>
      </c>
      <c r="C39" s="2" t="s">
        <v>33</v>
      </c>
      <c r="D39" s="2" t="s">
        <v>74</v>
      </c>
      <c r="E39" s="2" t="s">
        <v>24</v>
      </c>
      <c r="F39" s="2" t="s">
        <v>135</v>
      </c>
      <c r="G39" s="6">
        <v>200</v>
      </c>
      <c r="H39" s="2" t="s">
        <v>27</v>
      </c>
      <c r="I39" s="7">
        <v>0.63</v>
      </c>
      <c r="J39" s="2" t="s">
        <v>75</v>
      </c>
      <c r="K39" s="2" t="s">
        <v>76</v>
      </c>
      <c r="L39" s="2" t="s">
        <v>77</v>
      </c>
      <c r="M39" s="2" t="s">
        <v>78</v>
      </c>
      <c r="N39" s="2" t="s">
        <v>79</v>
      </c>
      <c r="O39" s="6">
        <v>200</v>
      </c>
      <c r="P39" s="2">
        <v>2</v>
      </c>
    </row>
    <row r="40" spans="1:16" x14ac:dyDescent="0.3">
      <c r="A40" s="2">
        <v>69</v>
      </c>
      <c r="B40" s="5">
        <v>42148</v>
      </c>
      <c r="C40" s="2" t="s">
        <v>80</v>
      </c>
      <c r="D40" s="2" t="s">
        <v>74</v>
      </c>
      <c r="E40" s="2" t="s">
        <v>24</v>
      </c>
      <c r="F40" s="2" t="s">
        <v>117</v>
      </c>
      <c r="G40" s="6">
        <v>52.5</v>
      </c>
      <c r="H40" s="2"/>
      <c r="I40" s="7">
        <v>0.86</v>
      </c>
      <c r="J40" s="2" t="s">
        <v>75</v>
      </c>
      <c r="K40" s="2" t="s">
        <v>76</v>
      </c>
      <c r="L40" s="2" t="s">
        <v>77</v>
      </c>
      <c r="M40" s="2" t="s">
        <v>78</v>
      </c>
      <c r="N40" s="2" t="s">
        <v>79</v>
      </c>
      <c r="O40" s="6">
        <v>52.5</v>
      </c>
      <c r="P40" s="2">
        <v>2</v>
      </c>
    </row>
    <row r="41" spans="1:16" x14ac:dyDescent="0.3">
      <c r="A41" s="2">
        <v>70</v>
      </c>
      <c r="B41" s="5">
        <v>42148</v>
      </c>
      <c r="C41" s="2" t="s">
        <v>80</v>
      </c>
      <c r="D41" s="2" t="s">
        <v>111</v>
      </c>
      <c r="E41" s="2" t="s">
        <v>62</v>
      </c>
      <c r="F41" s="2" t="s">
        <v>125</v>
      </c>
      <c r="G41" s="6">
        <v>800</v>
      </c>
      <c r="H41" s="2"/>
      <c r="I41" s="7">
        <v>0.8</v>
      </c>
      <c r="J41" s="2" t="s">
        <v>112</v>
      </c>
      <c r="K41" s="2" t="s">
        <v>113</v>
      </c>
      <c r="L41" s="2" t="s">
        <v>114</v>
      </c>
      <c r="M41" s="2" t="s">
        <v>101</v>
      </c>
      <c r="N41" s="2" t="s">
        <v>102</v>
      </c>
      <c r="O41" s="6">
        <v>800</v>
      </c>
      <c r="P41" s="2">
        <v>2</v>
      </c>
    </row>
    <row r="42" spans="1:16" x14ac:dyDescent="0.3">
      <c r="A42" s="2">
        <v>78</v>
      </c>
      <c r="B42" s="5">
        <v>42160</v>
      </c>
      <c r="C42" s="2" t="s">
        <v>80</v>
      </c>
      <c r="D42" s="2" t="s">
        <v>46</v>
      </c>
      <c r="E42" s="2" t="s">
        <v>104</v>
      </c>
      <c r="F42" s="2" t="s">
        <v>134</v>
      </c>
      <c r="G42" s="6">
        <v>1560</v>
      </c>
      <c r="H42" s="2" t="s">
        <v>18</v>
      </c>
      <c r="I42" s="7">
        <v>0.69</v>
      </c>
      <c r="J42" s="2" t="s">
        <v>28</v>
      </c>
      <c r="K42" s="2" t="s">
        <v>48</v>
      </c>
      <c r="L42" s="2" t="s">
        <v>49</v>
      </c>
      <c r="M42" s="2" t="s">
        <v>50</v>
      </c>
      <c r="N42" s="2" t="s">
        <v>51</v>
      </c>
      <c r="O42" s="6">
        <v>1560</v>
      </c>
      <c r="P42" s="2">
        <v>2</v>
      </c>
    </row>
    <row r="43" spans="1:16" x14ac:dyDescent="0.3">
      <c r="A43" s="2">
        <v>75</v>
      </c>
      <c r="B43" s="5">
        <v>42160</v>
      </c>
      <c r="C43" s="2" t="s">
        <v>33</v>
      </c>
      <c r="D43" s="2" t="s">
        <v>39</v>
      </c>
      <c r="E43" s="2" t="s">
        <v>47</v>
      </c>
      <c r="F43" s="2" t="s">
        <v>123</v>
      </c>
      <c r="G43" s="6">
        <v>510</v>
      </c>
      <c r="H43" s="2" t="s">
        <v>18</v>
      </c>
      <c r="I43" s="7">
        <v>0.72</v>
      </c>
      <c r="J43" s="2" t="s">
        <v>41</v>
      </c>
      <c r="K43" s="2" t="s">
        <v>42</v>
      </c>
      <c r="L43" s="2" t="s">
        <v>43</v>
      </c>
      <c r="M43" s="2" t="s">
        <v>44</v>
      </c>
      <c r="N43" s="2" t="s">
        <v>45</v>
      </c>
      <c r="O43" s="6">
        <v>510</v>
      </c>
      <c r="P43" s="2">
        <v>2</v>
      </c>
    </row>
    <row r="44" spans="1:16" x14ac:dyDescent="0.3">
      <c r="A44" s="2">
        <v>73</v>
      </c>
      <c r="B44" s="5">
        <v>42160</v>
      </c>
      <c r="C44" s="2" t="s">
        <v>84</v>
      </c>
      <c r="D44" s="2" t="s">
        <v>85</v>
      </c>
      <c r="E44" s="2" t="s">
        <v>53</v>
      </c>
      <c r="F44" s="2" t="s">
        <v>124</v>
      </c>
      <c r="G44" s="6">
        <v>96.5</v>
      </c>
      <c r="H44" s="2" t="s">
        <v>18</v>
      </c>
      <c r="I44" s="7">
        <v>0.65</v>
      </c>
      <c r="J44" s="2" t="s">
        <v>87</v>
      </c>
      <c r="K44" s="2" t="s">
        <v>88</v>
      </c>
      <c r="L44" s="2" t="s">
        <v>89</v>
      </c>
      <c r="M44" s="2" t="s">
        <v>90</v>
      </c>
      <c r="N44" s="2" t="s">
        <v>91</v>
      </c>
      <c r="O44" s="6">
        <v>96.5</v>
      </c>
      <c r="P44" s="2">
        <v>2</v>
      </c>
    </row>
    <row r="45" spans="1:16" x14ac:dyDescent="0.3">
      <c r="A45" s="2">
        <v>76</v>
      </c>
      <c r="B45" s="5">
        <v>42160</v>
      </c>
      <c r="C45" s="2" t="s">
        <v>15</v>
      </c>
      <c r="D45" s="2" t="s">
        <v>93</v>
      </c>
      <c r="E45" s="2" t="s">
        <v>82</v>
      </c>
      <c r="F45" s="2" t="s">
        <v>128</v>
      </c>
      <c r="G45" s="6">
        <v>660</v>
      </c>
      <c r="H45" s="2" t="s">
        <v>54</v>
      </c>
      <c r="I45" s="7">
        <v>0.95</v>
      </c>
      <c r="J45" s="2" t="s">
        <v>94</v>
      </c>
      <c r="K45" s="2" t="s">
        <v>36</v>
      </c>
      <c r="L45" s="2" t="s">
        <v>95</v>
      </c>
      <c r="M45" s="2" t="s">
        <v>78</v>
      </c>
      <c r="N45" s="2" t="s">
        <v>79</v>
      </c>
      <c r="O45" s="6">
        <v>660</v>
      </c>
      <c r="P45" s="2">
        <v>2</v>
      </c>
    </row>
    <row r="46" spans="1:16" x14ac:dyDescent="0.3">
      <c r="A46" s="2">
        <v>77</v>
      </c>
      <c r="B46" s="5">
        <v>42160</v>
      </c>
      <c r="C46" s="2" t="s">
        <v>15</v>
      </c>
      <c r="D46" s="2" t="s">
        <v>96</v>
      </c>
      <c r="E46" s="2" t="s">
        <v>81</v>
      </c>
      <c r="F46" s="2" t="s">
        <v>127</v>
      </c>
      <c r="G46" s="6">
        <v>2250</v>
      </c>
      <c r="H46" s="2" t="s">
        <v>27</v>
      </c>
      <c r="I46" s="7">
        <v>0.85</v>
      </c>
      <c r="J46" s="2" t="s">
        <v>98</v>
      </c>
      <c r="K46" s="2" t="s">
        <v>99</v>
      </c>
      <c r="L46" s="2" t="s">
        <v>100</v>
      </c>
      <c r="M46" s="2" t="s">
        <v>101</v>
      </c>
      <c r="N46" s="2" t="s">
        <v>102</v>
      </c>
      <c r="O46" s="6">
        <v>2250</v>
      </c>
      <c r="P46" s="2">
        <v>2</v>
      </c>
    </row>
    <row r="47" spans="1:16" x14ac:dyDescent="0.3">
      <c r="A47" s="2">
        <v>72</v>
      </c>
      <c r="B47" s="5">
        <v>42162</v>
      </c>
      <c r="C47" s="2" t="s">
        <v>80</v>
      </c>
      <c r="D47" s="2" t="s">
        <v>68</v>
      </c>
      <c r="E47" s="2" t="s">
        <v>17</v>
      </c>
      <c r="F47" s="2" t="s">
        <v>121</v>
      </c>
      <c r="G47" s="6">
        <v>230</v>
      </c>
      <c r="H47" s="2" t="s">
        <v>27</v>
      </c>
      <c r="I47" s="7">
        <v>0.96</v>
      </c>
      <c r="J47" s="2" t="s">
        <v>69</v>
      </c>
      <c r="K47" s="2" t="s">
        <v>70</v>
      </c>
      <c r="L47" s="2" t="s">
        <v>71</v>
      </c>
      <c r="M47" s="2" t="s">
        <v>72</v>
      </c>
      <c r="N47" s="2" t="s">
        <v>73</v>
      </c>
      <c r="O47" s="6">
        <v>230</v>
      </c>
      <c r="P47" s="2">
        <v>2</v>
      </c>
    </row>
    <row r="48" spans="1:16" x14ac:dyDescent="0.3">
      <c r="A48" s="2">
        <v>74</v>
      </c>
      <c r="B48" s="5">
        <v>42163</v>
      </c>
      <c r="C48" s="2" t="s">
        <v>38</v>
      </c>
      <c r="D48" s="2" t="s">
        <v>61</v>
      </c>
      <c r="E48" s="2" t="s">
        <v>47</v>
      </c>
      <c r="F48" s="2" t="s">
        <v>123</v>
      </c>
      <c r="G48" s="6">
        <v>510</v>
      </c>
      <c r="H48" s="2" t="s">
        <v>27</v>
      </c>
      <c r="I48" s="7">
        <v>0.92</v>
      </c>
      <c r="J48" s="2" t="s">
        <v>63</v>
      </c>
      <c r="K48" s="2" t="s">
        <v>64</v>
      </c>
      <c r="L48" s="2" t="s">
        <v>65</v>
      </c>
      <c r="M48" s="2" t="s">
        <v>66</v>
      </c>
      <c r="N48" s="2" t="s">
        <v>67</v>
      </c>
      <c r="O48" s="6">
        <v>510</v>
      </c>
      <c r="P48" s="2">
        <v>2</v>
      </c>
    </row>
    <row r="49" spans="1:16" x14ac:dyDescent="0.3">
      <c r="A49" s="2">
        <v>79</v>
      </c>
      <c r="B49" s="5">
        <v>42178</v>
      </c>
      <c r="C49" s="2" t="s">
        <v>103</v>
      </c>
      <c r="D49" s="2" t="s">
        <v>61</v>
      </c>
      <c r="E49" s="2" t="s">
        <v>24</v>
      </c>
      <c r="F49" s="2" t="s">
        <v>119</v>
      </c>
      <c r="G49" s="6">
        <v>1590</v>
      </c>
      <c r="H49" s="2" t="s">
        <v>18</v>
      </c>
      <c r="I49" s="7">
        <v>0.64</v>
      </c>
      <c r="J49" s="2" t="s">
        <v>63</v>
      </c>
      <c r="K49" s="2" t="s">
        <v>64</v>
      </c>
      <c r="L49" s="2" t="s">
        <v>65</v>
      </c>
      <c r="M49" s="2" t="s">
        <v>66</v>
      </c>
      <c r="N49" s="2" t="s">
        <v>67</v>
      </c>
      <c r="O49" s="6">
        <v>1590</v>
      </c>
      <c r="P49" s="2">
        <v>2</v>
      </c>
    </row>
    <row r="50" spans="1:16" x14ac:dyDescent="0.3">
      <c r="A50" s="2">
        <v>79</v>
      </c>
      <c r="B50" s="5">
        <v>42178</v>
      </c>
      <c r="C50" s="2" t="s">
        <v>103</v>
      </c>
      <c r="D50" s="2" t="s">
        <v>61</v>
      </c>
      <c r="E50" s="2" t="s">
        <v>24</v>
      </c>
      <c r="F50" s="2" t="s">
        <v>118</v>
      </c>
      <c r="G50" s="6">
        <v>900</v>
      </c>
      <c r="H50" s="2" t="s">
        <v>18</v>
      </c>
      <c r="I50" s="7">
        <v>0.68</v>
      </c>
      <c r="J50" s="2" t="s">
        <v>63</v>
      </c>
      <c r="K50" s="2" t="s">
        <v>64</v>
      </c>
      <c r="L50" s="2" t="s">
        <v>65</v>
      </c>
      <c r="M50" s="2" t="s">
        <v>66</v>
      </c>
      <c r="N50" s="2" t="s">
        <v>67</v>
      </c>
      <c r="O50" s="6">
        <v>900</v>
      </c>
      <c r="P50" s="2">
        <v>2</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C9B4A0-A5AC-4318-93E3-19472BAABB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PRODUCT-CUST dashboard</vt:lpstr>
      <vt:lpstr>CATEGORY dasboard</vt:lpstr>
      <vt:lpstr>Sheet1</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Smith</dc:creator>
  <cp:lastModifiedBy>anisahdaeli</cp:lastModifiedBy>
  <dcterms:created xsi:type="dcterms:W3CDTF">2016-04-11T17:57:26Z</dcterms:created>
  <dcterms:modified xsi:type="dcterms:W3CDTF">2025-12-06T13:38:57Z</dcterms:modified>
</cp:coreProperties>
</file>